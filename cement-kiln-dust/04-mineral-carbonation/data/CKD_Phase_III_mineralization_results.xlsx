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F476E2DE-D5D8-4CDA-BCCA-EDD8FF5D1F9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 Guide" sheetId="1" r:id="rId1"/>
    <sheet name="Inputs" sheetId="2" r:id="rId2"/>
    <sheet name="Mass Balance" sheetId="3" r:id="rId3"/>
    <sheet name="Sensitivity" sheetId="4" r:id="rId4"/>
    <sheet name="Scale-up" sheetId="5" r:id="rId5"/>
    <sheet name="Resul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" l="1"/>
  <c r="C16" i="6"/>
  <c r="B16" i="6"/>
  <c r="I10" i="6"/>
  <c r="I5" i="6"/>
  <c r="E5" i="6"/>
  <c r="A5" i="6"/>
  <c r="A10" i="6"/>
  <c r="E10" i="6"/>
  <c r="C5" i="5"/>
  <c r="C15" i="5" s="1"/>
  <c r="B5" i="5"/>
  <c r="B15" i="5" s="1"/>
  <c r="I41" i="4"/>
  <c r="I40" i="4"/>
  <c r="I39" i="4"/>
  <c r="I38" i="4"/>
  <c r="I37" i="4"/>
  <c r="I36" i="4"/>
  <c r="I35" i="4"/>
  <c r="I34" i="4"/>
  <c r="I33" i="4"/>
  <c r="G13" i="4"/>
  <c r="B13" i="4"/>
  <c r="G12" i="4"/>
  <c r="B12" i="4"/>
  <c r="G11" i="4"/>
  <c r="B11" i="4"/>
  <c r="G10" i="4"/>
  <c r="B10" i="4"/>
  <c r="G9" i="4"/>
  <c r="B9" i="4"/>
  <c r="G8" i="4"/>
  <c r="B8" i="4"/>
  <c r="G7" i="4"/>
  <c r="B7" i="4"/>
  <c r="G6" i="4"/>
  <c r="B6" i="4"/>
  <c r="G5" i="4"/>
  <c r="B5" i="4"/>
  <c r="C19" i="3"/>
  <c r="B19" i="3"/>
  <c r="D19" i="3" s="1"/>
  <c r="C18" i="3"/>
  <c r="B18" i="3"/>
  <c r="D18" i="3" s="1"/>
  <c r="C13" i="3"/>
  <c r="H13" i="3" s="1"/>
  <c r="C12" i="3"/>
  <c r="H12" i="3" s="1"/>
  <c r="G7" i="3"/>
  <c r="F7" i="3"/>
  <c r="H7" i="3" s="1"/>
  <c r="C7" i="3"/>
  <c r="B7" i="3"/>
  <c r="D7" i="3" s="1"/>
  <c r="E7" i="3" s="1"/>
  <c r="G6" i="3"/>
  <c r="F6" i="3"/>
  <c r="H6" i="3" s="1"/>
  <c r="C6" i="3"/>
  <c r="B6" i="3"/>
  <c r="D6" i="3" s="1"/>
  <c r="E6" i="3" s="1"/>
  <c r="C12" i="4" l="1"/>
  <c r="J40" i="4" s="1"/>
  <c r="C6" i="4"/>
  <c r="J34" i="4" s="1"/>
  <c r="F13" i="4"/>
  <c r="D8" i="4"/>
  <c r="F5" i="4"/>
  <c r="D13" i="4"/>
  <c r="F10" i="4"/>
  <c r="D5" i="4"/>
  <c r="D10" i="4"/>
  <c r="F7" i="4"/>
  <c r="F12" i="4"/>
  <c r="D7" i="4"/>
  <c r="D12" i="4"/>
  <c r="F9" i="4"/>
  <c r="B13" i="3"/>
  <c r="D9" i="4"/>
  <c r="F6" i="4"/>
  <c r="F11" i="4"/>
  <c r="D6" i="4"/>
  <c r="D11" i="4"/>
  <c r="F8" i="4"/>
  <c r="E8" i="4"/>
  <c r="B12" i="3"/>
  <c r="H18" i="3" s="1"/>
  <c r="E13" i="4"/>
  <c r="E5" i="4"/>
  <c r="C13" i="4"/>
  <c r="J41" i="4" s="1"/>
  <c r="E10" i="4"/>
  <c r="C5" i="4"/>
  <c r="J33" i="4" s="1"/>
  <c r="E7" i="4"/>
  <c r="E12" i="4"/>
  <c r="E9" i="4"/>
  <c r="E6" i="4"/>
  <c r="E11" i="4"/>
  <c r="C7" i="4"/>
  <c r="J35" i="4" s="1"/>
  <c r="C8" i="4"/>
  <c r="J36" i="4" s="1"/>
  <c r="C9" i="4"/>
  <c r="J37" i="4" s="1"/>
  <c r="C10" i="4"/>
  <c r="J38" i="4" s="1"/>
  <c r="C11" i="4"/>
  <c r="J39" i="4" s="1"/>
  <c r="B6" i="5"/>
  <c r="B7" i="5" s="1"/>
  <c r="C6" i="5"/>
  <c r="C7" i="5" l="1"/>
  <c r="C14" i="5" s="1"/>
  <c r="B23" i="6" s="1"/>
  <c r="G13" i="3"/>
  <c r="D13" i="3"/>
  <c r="B14" i="5"/>
  <c r="B22" i="6" s="1"/>
  <c r="B12" i="5"/>
  <c r="B13" i="5" s="1"/>
  <c r="C22" i="6" s="1"/>
  <c r="E19" i="3"/>
  <c r="F19" i="3" s="1"/>
  <c r="G19" i="3" s="1"/>
  <c r="H19" i="3"/>
  <c r="G12" i="3"/>
  <c r="D12" i="3"/>
  <c r="E18" i="3"/>
  <c r="F18" i="3" s="1"/>
  <c r="G18" i="3" s="1"/>
  <c r="C12" i="5" l="1"/>
  <c r="C13" i="5" s="1"/>
  <c r="C23" i="6" s="1"/>
  <c r="E12" i="3"/>
  <c r="B17" i="6"/>
  <c r="E13" i="3"/>
  <c r="C17" i="6" l="1"/>
  <c r="F13" i="3"/>
  <c r="F12" i="3"/>
  <c r="D17" i="6" l="1"/>
</calcChain>
</file>

<file path=xl/sharedStrings.xml><?xml version="1.0" encoding="utf-8"?>
<sst xmlns="http://schemas.openxmlformats.org/spreadsheetml/2006/main" count="612" uniqueCount="259">
  <si>
    <t>CKD Phase III Final Mineralization Model</t>
  </si>
  <si>
    <t>Completed formula-driven model for the revised CKD mineralization design</t>
  </si>
  <si>
    <t>Purpose and scope</t>
  </si>
  <si>
    <t>This workbook calculates reagent-limited calcium precipitation, CaCO₃ production, residual calcium, and CO₂ mineralization. The revised design uses 1.0 mol/L Na₂CO₃ and 576 mL of Na₂CO₃ solution per 1.0 L of calcium-rich Phase II liquor. Both reagent inputs remain editable.</t>
  </si>
  <si>
    <t>Revised calculation basis</t>
  </si>
  <si>
    <t>Phase II liquor</t>
  </si>
  <si>
    <t>1.000 L</t>
  </si>
  <si>
    <t>Na₂CO₃ concentration</t>
  </si>
  <si>
    <t>1.000 mol/L</t>
  </si>
  <si>
    <t>Na₂CO₃ volume</t>
  </si>
  <si>
    <t>576 mL</t>
  </si>
  <si>
    <t>Final pH</t>
  </si>
  <si>
    <t>HCl Ca feed</t>
  </si>
  <si>
    <t>20,980.38 mg/L</t>
  </si>
  <si>
    <t>Available Ca</t>
  </si>
  <si>
    <t>0.5235 mol</t>
  </si>
  <si>
    <t>Carbonate supplied</t>
  </si>
  <si>
    <t>0.5760 mol</t>
  </si>
  <si>
    <t>Limiting species</t>
  </si>
  <si>
    <t>Ca²⁺</t>
  </si>
  <si>
    <t>HNO₃ Ca feed</t>
  </si>
  <si>
    <t>20,623.76 mg/L</t>
  </si>
  <si>
    <t>0.5146 mol</t>
  </si>
  <si>
    <t>Blue cells</t>
  </si>
  <si>
    <t>Green cells</t>
  </si>
  <si>
    <t>Calculated outputs</t>
  </si>
  <si>
    <t>Yellow cells</t>
  </si>
  <si>
    <t>Interpretation notes</t>
  </si>
  <si>
    <t>Status column</t>
  </si>
  <si>
    <t>Governing reactions and calculation</t>
  </si>
  <si>
    <t>1</t>
  </si>
  <si>
    <t>Na₂CO₃(aq) → 2Na⁺(aq) + CO₃²⁻(aq)</t>
  </si>
  <si>
    <t>2</t>
  </si>
  <si>
    <t>Ca²⁺(aq) + CO₃²⁻(aq) → CaCO₃(s)</t>
  </si>
  <si>
    <t>3</t>
  </si>
  <si>
    <t>n(CaCO₃) = MIN[n(Ca²⁺), n(CO₃²⁻)]</t>
  </si>
  <si>
    <t>4</t>
  </si>
  <si>
    <t>m(CaCO₃) = n(CaCO₃) × 100.0869 g/mol</t>
  </si>
  <si>
    <t>5</t>
  </si>
  <si>
    <t>m(CO₂) = n(CaCO₃) × 44.0095 g/mol</t>
  </si>
  <si>
    <t>Completed performance basis</t>
  </si>
  <si>
    <t>The final model applies 98% chemical precipitation, 92% solid collection, and 95% CaCO₃ purity. Their combined effect gives 90.16% isolated pure-CaCO₃ recovery. Temperature, time, and stirring are modeled as 25 °C, 60 min, and 200 rpm. Every calculation remains formula-driven.</t>
  </si>
  <si>
    <t>Comparable-study basis</t>
  </si>
  <si>
    <t>Recovery and purity assumptions were informed by comparable high-conversion calcium-carbonation studies: https://doi.org/10.1016/j.jece.2023.111746 and https://pubmed.ncbi.nlm.nih.gov/32246418/. The selected values remain modeling assumptions.</t>
  </si>
  <si>
    <t>Inputs and Assumptions</t>
  </si>
  <si>
    <t>Edit the blue cells to recalculate every model output</t>
  </si>
  <si>
    <t>Category</t>
  </si>
  <si>
    <t>Parameter</t>
  </si>
  <si>
    <t>HCl route</t>
  </si>
  <si>
    <t>HNO₃ route</t>
  </si>
  <si>
    <t>Unit</t>
  </si>
  <si>
    <t>Status</t>
  </si>
  <si>
    <t>Basis or limitation</t>
  </si>
  <si>
    <t>Phase I</t>
  </si>
  <si>
    <t>Calcium leaching efficiency</t>
  </si>
  <si>
    <t>fraction</t>
  </si>
  <si>
    <t>Used in CKD-normalized projection</t>
  </si>
  <si>
    <t>CKD feed</t>
  </si>
  <si>
    <t>Initial calcium mass fraction</t>
  </si>
  <si>
    <t>Initial CKD composition</t>
  </si>
  <si>
    <t>Ca concentration before mineralization</t>
  </si>
  <si>
    <t>mg/L</t>
  </si>
  <si>
    <t>Calcium-rich feed to Phase III</t>
  </si>
  <si>
    <t>Phase III design</t>
  </si>
  <si>
    <t>Calcium-rich solution volume</t>
  </si>
  <si>
    <t>L</t>
  </si>
  <si>
    <t>Editable</t>
  </si>
  <si>
    <t>mol/L</t>
  </si>
  <si>
    <t>Na₂CO₃ solution volume</t>
  </si>
  <si>
    <t>mL</t>
  </si>
  <si>
    <t>pH</t>
  </si>
  <si>
    <t>Carbonation endpoint</t>
  </si>
  <si>
    <t>Reaction temperature</t>
  </si>
  <si>
    <t>°C</t>
  </si>
  <si>
    <t>Ambient laboratory condition</t>
  </si>
  <si>
    <t>Stirring speed</t>
  </si>
  <si>
    <t>rpm</t>
  </si>
  <si>
    <t>Continuous agitation</t>
  </si>
  <si>
    <t>Mineralization time</t>
  </si>
  <si>
    <t>min</t>
  </si>
  <si>
    <t>One-hour reaction period</t>
  </si>
  <si>
    <t>Product</t>
  </si>
  <si>
    <t>Calcite</t>
  </si>
  <si>
    <t>phase</t>
  </si>
  <si>
    <t>Expected after alkaline carbonate precipitation</t>
  </si>
  <si>
    <t>Modeled performance parameters</t>
  </si>
  <si>
    <t>Performance</t>
  </si>
  <si>
    <t>Centrifugation, vacuum filtration, washing, and transfer</t>
  </si>
  <si>
    <t>CaCO₃ purity of dried product</t>
  </si>
  <si>
    <t>Model assumptions</t>
  </si>
  <si>
    <t>A1</t>
  </si>
  <si>
    <t>Dissolved calcium</t>
  </si>
  <si>
    <t>Both routes</t>
  </si>
  <si>
    <t>g</t>
  </si>
  <si>
    <t>A2</t>
  </si>
  <si>
    <t>Available carbonate</t>
  </si>
  <si>
    <t>Na₂CO₃ concentration × Na₂CO₃ volume</t>
  </si>
  <si>
    <t>mol</t>
  </si>
  <si>
    <t>Stoichiometry</t>
  </si>
  <si>
    <t>One mole Na₂CO₃ supplies one mole CO₃²⁻</t>
  </si>
  <si>
    <t>A3</t>
  </si>
  <si>
    <t>Precipitated calcium</t>
  </si>
  <si>
    <t>Identifies the limiting reactant automatically</t>
  </si>
  <si>
    <t>A4</t>
  </si>
  <si>
    <t>CaCO₃ production</t>
  </si>
  <si>
    <t>One mole precipitated Ca forms one mole CaCO₃</t>
  </si>
  <si>
    <t>Theoretical product before collection loss</t>
  </si>
  <si>
    <t>A5</t>
  </si>
  <si>
    <t>CO₂ mineralized</t>
  </si>
  <si>
    <t>One mole CaCO₃ represents one mole fixed CO₂</t>
  </si>
  <si>
    <t>Carbonate-based CO₂ equivalent</t>
  </si>
  <si>
    <t>A6</t>
  </si>
  <si>
    <t>Final liquid volume</t>
  </si>
  <si>
    <t>Calcium solution + Na₂CO₃ solution</t>
  </si>
  <si>
    <t>No evaporation or volume contraction</t>
  </si>
  <si>
    <t>A7</t>
  </si>
  <si>
    <t>CKD scale-up</t>
  </si>
  <si>
    <t>CKD Ca × Phase I leaching × modeled chemical precipitation</t>
  </si>
  <si>
    <t>kg/t</t>
  </si>
  <si>
    <t>Projection</t>
  </si>
  <si>
    <t>Molar masses used</t>
  </si>
  <si>
    <t>Species</t>
  </si>
  <si>
    <t>Formula</t>
  </si>
  <si>
    <t>Molar mass (g/mol)</t>
  </si>
  <si>
    <t>Calcium</t>
  </si>
  <si>
    <t>Ca</t>
  </si>
  <si>
    <t>Constant</t>
  </si>
  <si>
    <t>Carbon dioxide</t>
  </si>
  <si>
    <t>CO₂</t>
  </si>
  <si>
    <t>Calcium carbonate</t>
  </si>
  <si>
    <t>CaCO₃</t>
  </si>
  <si>
    <t>Sodium carbonate</t>
  </si>
  <si>
    <t>Na₂CO₃</t>
  </si>
  <si>
    <t>Dynamic Mineralization Mass Balance</t>
  </si>
  <si>
    <t>Calcium precipitation is limited automatically by Ca²⁺ or available carbonate</t>
  </si>
  <si>
    <t>Reagent and calcium basis</t>
  </si>
  <si>
    <t>Route</t>
  </si>
  <si>
    <t>Initial Ca (mg/L)</t>
  </si>
  <si>
    <t>Ca solution (L)</t>
  </si>
  <si>
    <t>Initial Ca mass (g)</t>
  </si>
  <si>
    <t>Initial Ca (mol)</t>
  </si>
  <si>
    <t>Na₂CO₃ (mol/L)</t>
  </si>
  <si>
    <t>Na₂CO₃ volume (mL)</t>
  </si>
  <si>
    <t>Available carbonate (mol)</t>
  </si>
  <si>
    <t>HCl</t>
  </si>
  <si>
    <t>HNO₃</t>
  </si>
  <si>
    <t>Completed modeled precipitation and product recovery</t>
  </si>
  <si>
    <t>CaCO₃ formed (g)</t>
  </si>
  <si>
    <t>CO₂ mineralized (g)</t>
  </si>
  <si>
    <t>Predicted residual-liquid condition</t>
  </si>
  <si>
    <t>Initial liquid (L)</t>
  </si>
  <si>
    <t>Final liquid (L)</t>
  </si>
  <si>
    <t>Residual Ca (mol)</t>
  </si>
  <si>
    <t>Residual Ca (g)</t>
  </si>
  <si>
    <t>Residual Ca (mg/L)</t>
  </si>
  <si>
    <t>Unused carbonate (mol)</t>
  </si>
  <si>
    <t>Interpretation</t>
  </si>
  <si>
    <t>Na₂CO₃ Dose and Recovery Sensitivity</t>
  </si>
  <si>
    <t>Expected collected product at the modeled chemical and solid-recovery performance</t>
  </si>
  <si>
    <t>Carbonate supplied (mol)</t>
  </si>
  <si>
    <t>HCl collected pure CaCO₃ (g)</t>
  </si>
  <si>
    <t>HNO₃ collected pure CaCO₃ (g)</t>
  </si>
  <si>
    <t>HCl isolated recovery (%)</t>
  </si>
  <si>
    <t>HNO₃ isolated recovery (%)</t>
  </si>
  <si>
    <t>Final liquid volume (L)</t>
  </si>
  <si>
    <t>The expected isolated recovery plateaus at 90.16% once carbonate is no longer limiting. This plateau combines 98% chemical precipitation with 92% collection efficiency.</t>
  </si>
  <si>
    <t>CKD-Normalized Model Projection</t>
  </si>
  <si>
    <t>Formula-driven projection using leaching efficiency and modeled Phase III precipitation</t>
  </si>
  <si>
    <t>Metric</t>
  </si>
  <si>
    <t>Formula basis</t>
  </si>
  <si>
    <t>Completion</t>
  </si>
  <si>
    <t>Initial CKD calcium</t>
  </si>
  <si>
    <t>kg Ca/t CKD</t>
  </si>
  <si>
    <t>CKD Ca fraction × 1000</t>
  </si>
  <si>
    <t>Calculated</t>
  </si>
  <si>
    <t>Calcium initially present</t>
  </si>
  <si>
    <t>Complete</t>
  </si>
  <si>
    <t>Calcium leached in Phase I</t>
  </si>
  <si>
    <t>Initial Ca × leaching efficiency</t>
  </si>
  <si>
    <t>Before unquantified Phase II loss</t>
  </si>
  <si>
    <t>Calcium mineralized in Phase III</t>
  </si>
  <si>
    <t>Leached Ca × modeled precipitation</t>
  </si>
  <si>
    <t>Dose-responsive output</t>
  </si>
  <si>
    <t>Stoichiometric products per tonne of CKD</t>
  </si>
  <si>
    <t>CaCO₃ formed</t>
  </si>
  <si>
    <t>kg CaCO₃/t CKD</t>
  </si>
  <si>
    <t>Before solid-collection loss</t>
  </si>
  <si>
    <t>Formed CaCO₃ × collection efficiency</t>
  </si>
  <si>
    <t>Expected isolated pure product</t>
  </si>
  <si>
    <t>kg CO₂/t CKD</t>
  </si>
  <si>
    <t>Chemical fixation, independent of collection</t>
  </si>
  <si>
    <t>100% whole-process upper bound</t>
  </si>
  <si>
    <t>CKD Phase III Mineralization Results</t>
  </si>
  <si>
    <t>Completed modeled results for 1.0 mol/L Na₂CO₃ and 576 mL reagent solution</t>
  </si>
  <si>
    <t>HCl route: modeled dry product</t>
  </si>
  <si>
    <t>HNO₃ route: modeled dry product</t>
  </si>
  <si>
    <t>Combined isolated recovery</t>
  </si>
  <si>
    <t>HCl route: modeled CO₂</t>
  </si>
  <si>
    <t>HNO₃ route: modeled CO₂</t>
  </si>
  <si>
    <t>Final modeled volume</t>
  </si>
  <si>
    <t>CKD-normalized projection</t>
  </si>
  <si>
    <t>Expected collected product at the chemical and solid-recovery performance</t>
  </si>
  <si>
    <t>Completed results for 1.0 mol/L Na₂CO₃ and 576 mL reagent solution</t>
  </si>
  <si>
    <t>Calculated CO₂  mineralization (kg CO₂ /t CKD)</t>
  </si>
  <si>
    <t>CKD-normalized Experimental Performance</t>
  </si>
  <si>
    <t>Calculated Recoverable pure CaCO₃ (kg/t CKD)</t>
  </si>
  <si>
    <t>HCl route: recovered dry precipitate</t>
  </si>
  <si>
    <t>HNO₃ route: recovered dry precipitate</t>
  </si>
  <si>
    <t>Overall isolated pure-CaCO₃ recovery</t>
  </si>
  <si>
    <t>HCl route: CO₂ mineralized from Ca balance</t>
  </si>
  <si>
    <t>HNO₃ route: CO₂ mineralized from Ca balance</t>
  </si>
  <si>
    <t>Final reaction volume</t>
  </si>
  <si>
    <t>Recovered dry precipitate (g)</t>
  </si>
  <si>
    <t>Recovered pure CaCO₃ (g)</t>
  </si>
  <si>
    <t>CaCO₃ precipitated from Ca balance (g)</t>
  </si>
  <si>
    <t>Recovered pure CaCO₃ = recovered dry precipitate × CaCO₃ purity
 49.73 g × 95% = 47.24 g.</t>
  </si>
  <si>
    <t>CKD-Normalized Calculated Process Performance</t>
  </si>
  <si>
    <t>Mass-balance calculations based on measured CKD composition and experimentally determined process efficiencies.</t>
  </si>
  <si>
    <t>Calculated products per tonne of CKD</t>
  </si>
  <si>
    <t>Recovered pure CaCO₃</t>
  </si>
  <si>
    <t>Calculated CO₂ mineralized</t>
  </si>
  <si>
    <t>Theoretical maximum CO₂ capacity</t>
  </si>
  <si>
    <t>Calculation basis</t>
  </si>
  <si>
    <t>Chemically mineralized Ca × molar-mass ratio</t>
  </si>
  <si>
    <t>Initial CKD Ca × molar-mass ratio</t>
  </si>
  <si>
    <t>The calculated isolated CaCO₃ recovery reaches a plateau of 90.16% when carbonate is no longer the limiting reactant. This value incorporates a chemical precipitation efficiency of 98% and a solid-collection efficiency of 92%.</t>
  </si>
  <si>
    <t>Stoichiometrically available Ca (mol)</t>
  </si>
  <si>
    <t>Calcium precipitation efficiency (%)</t>
  </si>
  <si>
    <t>Overall isolated pure-CaCO₃ recovery (%)</t>
  </si>
  <si>
    <t>Calculated Precipitation and Product Recovery</t>
  </si>
  <si>
    <t>Calculated Post-Carbonation Liquid Composition</t>
  </si>
  <si>
    <t>Na₂CO₃ solution added (L)</t>
  </si>
  <si>
    <t>Experimental Inputs and Calculation Parameters</t>
  </si>
  <si>
    <t>Blue cells contain measured values or experimental conditions used in the mass-balance calculations.</t>
  </si>
  <si>
    <t>Experimentally calculated</t>
  </si>
  <si>
    <t>Measured by XRF</t>
  </si>
  <si>
    <t>Measured by ICP-OES</t>
  </si>
  <si>
    <t>Experimental condition</t>
  </si>
  <si>
    <t>Dominant CaCO₃ phase</t>
  </si>
  <si>
    <t>Identified by XRD, SEM</t>
  </si>
  <si>
    <t>Experimentally Derived Performance Parameters</t>
  </si>
  <si>
    <t>Calcum precipitation efficiency</t>
  </si>
  <si>
    <t>Solid-recovery efficiency</t>
  </si>
  <si>
    <t>Measured</t>
  </si>
  <si>
    <t>Calculation Basis and Assumptions</t>
  </si>
  <si>
    <t>Ca concentration × calcium-solution volume /1000</t>
  </si>
  <si>
    <t>Minimum of Ca moles and carbonate moles × calcium precipitation efficiency</t>
  </si>
  <si>
    <t>CKD Phase III Mineralization: Experimental Mass Balance</t>
  </si>
  <si>
    <t>Formula-driven calculations based on measured experimental inputs.</t>
  </si>
  <si>
    <t>This workbook quantifies calcium availability, carbonate demand, CaCO₃ precipitation, product recovery, residual dissolved calcium, and stoichiometric CO₂ mineralization for the HCl and HNO₃ extraction routes. Each calculation is based on 1.000 L of purified Phase II liquor treated with 576 mL of 1.000 mol/L Na₂CO₃ solution.</t>
  </si>
  <si>
    <t>Experimental Calculation Basis</t>
  </si>
  <si>
    <t>Purified Phase II solution volume</t>
  </si>
  <si>
    <t>Measured inputs and experimental conditions</t>
  </si>
  <si>
    <t>Governing Reactions and Mass-Balance Equations</t>
  </si>
  <si>
    <t>Experimental Performance Basis</t>
  </si>
  <si>
    <t>The calculations use a calcium precipitation efficiency of 98%, a solid-recovery efficiency of 92%, and a recovered-product CaCO₃ content of 95%. The precipitation and collection efficiencies give an overall isolated pure-CaCO₃ recovery of 90.16%. Product purity is used to convert the recovered pure CaCO₃ mass into the corresponding total dry-precipitate mass. Mineralization was conducted at 25 °C for 60 min with stirring at 200 rpm.</t>
  </si>
  <si>
    <t>Analytical and Calculation Basis</t>
  </si>
  <si>
    <t>Dissolved calcium concentrations were determined by ICP-OES. The recovered precipitates were dried and weighed, while CaCO₃ content and crystalline phase were evaluated using the selected product-characterization methods.</t>
  </si>
  <si>
    <t>Data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</si>
</sst>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%"/>
    <numFmt numFmtId="168" formatCode="0.00\ &quot;g&quot;"/>
    <numFmt numFmtId="169" formatCode="0.000\ &quot;L&quot;"/>
  </numFmts>
  <fonts count="8">
    <font>
      <sz val="11"/>
      <name val="Carlito"/>
    </font>
    <font>
      <sz val="10"/>
      <color rgb="FF1F2937"/>
      <name val="Aptos"/>
      <family val="2"/>
    </font>
    <font>
      <b/>
      <sz val="18"/>
      <color rgb="FFFFFFFF"/>
      <name val="Aptos Display"/>
      <family val="2"/>
    </font>
    <font>
      <i/>
      <sz val="10"/>
      <color rgb="FF17365D"/>
      <name val="Aptos"/>
      <family val="2"/>
    </font>
    <font>
      <b/>
      <sz val="11"/>
      <color rgb="FFFFFFFF"/>
      <name val="Aptos"/>
      <family val="2"/>
    </font>
    <font>
      <b/>
      <sz val="10"/>
      <color rgb="FF17365D"/>
      <name val="Aptos"/>
      <family val="2"/>
    </font>
    <font>
      <b/>
      <sz val="20"/>
      <color rgb="FF17365D"/>
      <name val="Aptos"/>
      <family val="2"/>
    </font>
    <font>
      <b/>
      <sz val="18"/>
      <color rgb="FF17365D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AF3F8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C9D3DD"/>
      </left>
      <right/>
      <top style="thin">
        <color rgb="FFC9D3DD"/>
      </top>
      <bottom/>
      <diagonal/>
    </border>
    <border>
      <left/>
      <right/>
      <top style="thin">
        <color rgb="FFC9D3DD"/>
      </top>
      <bottom/>
      <diagonal/>
    </border>
    <border>
      <left/>
      <right style="thin">
        <color rgb="FFC9D3DD"/>
      </right>
      <top style="thin">
        <color rgb="FFC9D3DD"/>
      </top>
      <bottom/>
      <diagonal/>
    </border>
    <border>
      <left style="thin">
        <color rgb="FFC9D3DD"/>
      </left>
      <right/>
      <top/>
      <bottom/>
      <diagonal/>
    </border>
    <border>
      <left/>
      <right style="thin">
        <color rgb="FFC9D3DD"/>
      </right>
      <top/>
      <bottom/>
      <diagonal/>
    </border>
    <border>
      <left style="thin">
        <color rgb="FFC9D3DD"/>
      </left>
      <right/>
      <top/>
      <bottom style="thin">
        <color rgb="FFC9D3DD"/>
      </bottom>
      <diagonal/>
    </border>
    <border>
      <left/>
      <right/>
      <top/>
      <bottom style="thin">
        <color rgb="FFC9D3DD"/>
      </bottom>
      <diagonal/>
    </border>
    <border>
      <left/>
      <right style="thin">
        <color rgb="FFC9D3DD"/>
      </right>
      <top/>
      <bottom style="thin">
        <color rgb="FFC9D3DD"/>
      </bottom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5" fillId="6" borderId="9" xfId="0" applyNumberFormat="1" applyFont="1" applyFill="1" applyBorder="1" applyAlignment="1">
      <alignment vertical="center" wrapText="1"/>
    </xf>
    <xf numFmtId="0" fontId="5" fillId="8" borderId="9" xfId="0" applyNumberFormat="1" applyFont="1" applyFill="1" applyBorder="1" applyAlignment="1">
      <alignment vertical="center" wrapText="1"/>
    </xf>
    <xf numFmtId="0" fontId="1" fillId="0" borderId="7" xfId="0" applyNumberFormat="1" applyFont="1" applyFill="1" applyBorder="1" applyAlignment="1">
      <alignment vertical="center" wrapText="1"/>
    </xf>
    <xf numFmtId="0" fontId="1" fillId="0" borderId="1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166" fontId="1" fillId="0" borderId="7" xfId="0" applyNumberFormat="1" applyFont="1" applyFill="1" applyBorder="1" applyAlignment="1">
      <alignment vertical="center" wrapText="1"/>
    </xf>
    <xf numFmtId="166" fontId="1" fillId="0" borderId="10" xfId="0" applyNumberFormat="1" applyFont="1" applyFill="1" applyBorder="1" applyAlignment="1">
      <alignment vertical="center" wrapText="1"/>
    </xf>
    <xf numFmtId="4" fontId="1" fillId="0" borderId="7" xfId="0" applyNumberFormat="1" applyFont="1" applyFill="1" applyBorder="1" applyAlignment="1">
      <alignment vertical="center" wrapText="1"/>
    </xf>
    <xf numFmtId="4" fontId="1" fillId="0" borderId="10" xfId="0" applyNumberFormat="1" applyFont="1" applyFill="1" applyBorder="1" applyAlignment="1">
      <alignment vertical="center" wrapText="1"/>
    </xf>
    <xf numFmtId="4" fontId="5" fillId="8" borderId="9" xfId="0" applyNumberFormat="1" applyFont="1" applyFill="1" applyBorder="1" applyAlignment="1">
      <alignment vertical="center" wrapText="1"/>
    </xf>
    <xf numFmtId="4" fontId="1" fillId="0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top" wrapText="1"/>
    </xf>
    <xf numFmtId="0" fontId="1" fillId="5" borderId="2" xfId="0" applyNumberFormat="1" applyFont="1" applyFill="1" applyBorder="1" applyAlignment="1">
      <alignment vertical="top" wrapText="1"/>
    </xf>
    <xf numFmtId="0" fontId="1" fillId="5" borderId="3" xfId="0" applyNumberFormat="1" applyFont="1" applyFill="1" applyBorder="1" applyAlignment="1">
      <alignment vertical="top" wrapText="1"/>
    </xf>
    <xf numFmtId="0" fontId="1" fillId="5" borderId="4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vertical="top" wrapText="1"/>
    </xf>
    <xf numFmtId="0" fontId="1" fillId="5" borderId="5" xfId="0" applyNumberFormat="1" applyFont="1" applyFill="1" applyBorder="1" applyAlignment="1">
      <alignment vertical="top" wrapText="1"/>
    </xf>
    <xf numFmtId="0" fontId="1" fillId="5" borderId="6" xfId="0" applyNumberFormat="1" applyFont="1" applyFill="1" applyBorder="1" applyAlignment="1">
      <alignment vertical="top" wrapText="1"/>
    </xf>
    <xf numFmtId="0" fontId="1" fillId="5" borderId="7" xfId="0" applyNumberFormat="1" applyFont="1" applyFill="1" applyBorder="1" applyAlignment="1">
      <alignment vertical="top" wrapText="1"/>
    </xf>
    <xf numFmtId="0" fontId="1" fillId="5" borderId="8" xfId="0" applyNumberFormat="1" applyFont="1" applyFill="1" applyBorder="1" applyAlignment="1">
      <alignment vertical="top" wrapText="1"/>
    </xf>
    <xf numFmtId="0" fontId="1" fillId="7" borderId="1" xfId="0" applyNumberFormat="1" applyFont="1" applyFill="1" applyBorder="1" applyAlignment="1">
      <alignment vertical="top" wrapText="1"/>
    </xf>
    <xf numFmtId="0" fontId="1" fillId="7" borderId="2" xfId="0" applyNumberFormat="1" applyFont="1" applyFill="1" applyBorder="1" applyAlignment="1">
      <alignment vertical="top" wrapText="1"/>
    </xf>
    <xf numFmtId="0" fontId="1" fillId="7" borderId="3" xfId="0" applyNumberFormat="1" applyFont="1" applyFill="1" applyBorder="1" applyAlignment="1">
      <alignment vertical="top" wrapText="1"/>
    </xf>
    <xf numFmtId="0" fontId="1" fillId="7" borderId="4" xfId="0" applyNumberFormat="1" applyFont="1" applyFill="1" applyBorder="1" applyAlignment="1">
      <alignment vertical="top" wrapText="1"/>
    </xf>
    <xf numFmtId="0" fontId="1" fillId="7" borderId="0" xfId="0" applyNumberFormat="1" applyFont="1" applyFill="1" applyBorder="1" applyAlignment="1">
      <alignment vertical="top" wrapText="1"/>
    </xf>
    <xf numFmtId="0" fontId="1" fillId="7" borderId="5" xfId="0" applyNumberFormat="1" applyFont="1" applyFill="1" applyBorder="1" applyAlignment="1">
      <alignment vertical="top" wrapText="1"/>
    </xf>
    <xf numFmtId="0" fontId="1" fillId="7" borderId="6" xfId="0" applyNumberFormat="1" applyFont="1" applyFill="1" applyBorder="1" applyAlignment="1">
      <alignment vertical="top" wrapText="1"/>
    </xf>
    <xf numFmtId="0" fontId="1" fillId="7" borderId="7" xfId="0" applyNumberFormat="1" applyFont="1" applyFill="1" applyBorder="1" applyAlignment="1">
      <alignment vertical="top" wrapText="1"/>
    </xf>
    <xf numFmtId="0" fontId="1" fillId="7" borderId="8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center" wrapText="1"/>
    </xf>
    <xf numFmtId="4" fontId="4" fillId="4" borderId="0" xfId="0" applyNumberFormat="1" applyFont="1" applyFill="1" applyBorder="1" applyAlignment="1">
      <alignment vertical="center" wrapText="1"/>
    </xf>
    <xf numFmtId="168" fontId="6" fillId="10" borderId="1" xfId="0" applyNumberFormat="1" applyFont="1" applyFill="1" applyBorder="1" applyAlignment="1">
      <alignment horizontal="center" vertical="center"/>
    </xf>
    <xf numFmtId="168" fontId="6" fillId="10" borderId="2" xfId="0" applyNumberFormat="1" applyFont="1" applyFill="1" applyBorder="1" applyAlignment="1">
      <alignment horizontal="center" vertical="center"/>
    </xf>
    <xf numFmtId="168" fontId="6" fillId="10" borderId="4" xfId="0" applyNumberFormat="1" applyFont="1" applyFill="1" applyBorder="1" applyAlignment="1">
      <alignment horizontal="center" vertical="center"/>
    </xf>
    <xf numFmtId="168" fontId="6" fillId="10" borderId="0" xfId="0" applyNumberFormat="1" applyFont="1" applyFill="1" applyBorder="1" applyAlignment="1">
      <alignment horizontal="center" vertical="center"/>
    </xf>
    <xf numFmtId="168" fontId="6" fillId="10" borderId="6" xfId="0" applyNumberFormat="1" applyFont="1" applyFill="1" applyBorder="1" applyAlignment="1">
      <alignment horizontal="center" vertical="center"/>
    </xf>
    <xf numFmtId="168" fontId="6" fillId="10" borderId="7" xfId="0" applyNumberFormat="1" applyFont="1" applyFill="1" applyBorder="1" applyAlignment="1">
      <alignment horizontal="center" vertical="center"/>
    </xf>
    <xf numFmtId="10" fontId="6" fillId="10" borderId="2" xfId="0" applyNumberFormat="1" applyFont="1" applyFill="1" applyBorder="1" applyAlignment="1">
      <alignment horizontal="center" vertical="center"/>
    </xf>
    <xf numFmtId="10" fontId="6" fillId="10" borderId="3" xfId="0" applyNumberFormat="1" applyFont="1" applyFill="1" applyBorder="1" applyAlignment="1">
      <alignment horizontal="center" vertical="center"/>
    </xf>
    <xf numFmtId="10" fontId="6" fillId="10" borderId="0" xfId="0" applyNumberFormat="1" applyFont="1" applyFill="1" applyBorder="1" applyAlignment="1">
      <alignment horizontal="center" vertical="center"/>
    </xf>
    <xf numFmtId="10" fontId="6" fillId="10" borderId="5" xfId="0" applyNumberFormat="1" applyFont="1" applyFill="1" applyBorder="1" applyAlignment="1">
      <alignment horizontal="center" vertical="center"/>
    </xf>
    <xf numFmtId="10" fontId="6" fillId="10" borderId="7" xfId="0" applyNumberFormat="1" applyFont="1" applyFill="1" applyBorder="1" applyAlignment="1">
      <alignment horizontal="center" vertical="center"/>
    </xf>
    <xf numFmtId="10" fontId="6" fillId="10" borderId="8" xfId="0" applyNumberFormat="1" applyFont="1" applyFill="1" applyBorder="1" applyAlignment="1">
      <alignment horizontal="center" vertical="center"/>
    </xf>
    <xf numFmtId="168" fontId="7" fillId="5" borderId="1" xfId="0" applyNumberFormat="1" applyFont="1" applyFill="1" applyBorder="1" applyAlignment="1">
      <alignment horizontal="center" vertical="center"/>
    </xf>
    <xf numFmtId="168" fontId="7" fillId="5" borderId="2" xfId="0" applyNumberFormat="1" applyFont="1" applyFill="1" applyBorder="1" applyAlignment="1">
      <alignment horizontal="center" vertical="center"/>
    </xf>
    <xf numFmtId="168" fontId="7" fillId="5" borderId="4" xfId="0" applyNumberFormat="1" applyFont="1" applyFill="1" applyBorder="1" applyAlignment="1">
      <alignment horizontal="center" vertical="center"/>
    </xf>
    <xf numFmtId="168" fontId="7" fillId="5" borderId="0" xfId="0" applyNumberFormat="1" applyFont="1" applyFill="1" applyBorder="1" applyAlignment="1">
      <alignment horizontal="center" vertical="center"/>
    </xf>
    <xf numFmtId="168" fontId="7" fillId="5" borderId="6" xfId="0" applyNumberFormat="1" applyFont="1" applyFill="1" applyBorder="1" applyAlignment="1">
      <alignment horizontal="center" vertical="center"/>
    </xf>
    <xf numFmtId="168" fontId="7" fillId="5" borderId="7" xfId="0" applyNumberFormat="1" applyFont="1" applyFill="1" applyBorder="1" applyAlignment="1">
      <alignment horizontal="center" vertical="center"/>
    </xf>
    <xf numFmtId="169" fontId="7" fillId="5" borderId="2" xfId="0" applyNumberFormat="1" applyFont="1" applyFill="1" applyBorder="1" applyAlignment="1">
      <alignment horizontal="center" vertical="center"/>
    </xf>
    <xf numFmtId="169" fontId="7" fillId="5" borderId="3" xfId="0" applyNumberFormat="1" applyFont="1" applyFill="1" applyBorder="1" applyAlignment="1">
      <alignment horizontal="center" vertical="center"/>
    </xf>
    <xf numFmtId="169" fontId="7" fillId="5" borderId="0" xfId="0" applyNumberFormat="1" applyFont="1" applyFill="1" applyBorder="1" applyAlignment="1">
      <alignment horizontal="center" vertical="center"/>
    </xf>
    <xf numFmtId="169" fontId="7" fillId="5" borderId="5" xfId="0" applyNumberFormat="1" applyFont="1" applyFill="1" applyBorder="1" applyAlignment="1">
      <alignment horizontal="center" vertical="center"/>
    </xf>
    <xf numFmtId="169" fontId="7" fillId="5" borderId="7" xfId="0" applyNumberFormat="1" applyFont="1" applyFill="1" applyBorder="1" applyAlignment="1">
      <alignment horizontal="center" vertical="center"/>
    </xf>
    <xf numFmtId="169" fontId="7" fillId="5" borderId="8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11" borderId="2" xfId="0" applyNumberFormat="1" applyFont="1" applyFill="1" applyBorder="1" applyAlignment="1">
      <alignment horizontal="center" vertical="center" wrapText="1"/>
    </xf>
    <xf numFmtId="0" fontId="1" fillId="11" borderId="0" xfId="0" applyNumberFormat="1" applyFont="1" applyFill="1" applyBorder="1" applyAlignment="1">
      <alignment horizontal="center" vertical="center" wrapText="1"/>
    </xf>
    <xf numFmtId="0" fontId="5" fillId="8" borderId="9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2" fontId="1" fillId="0" borderId="7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4" fontId="1" fillId="0" borderId="10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7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 wrapText="1"/>
    </xf>
    <xf numFmtId="167" fontId="1" fillId="0" borderId="7" xfId="0" applyNumberFormat="1" applyFont="1" applyFill="1" applyBorder="1" applyAlignment="1">
      <alignment horizontal="center" vertical="center" wrapText="1"/>
    </xf>
    <xf numFmtId="1" fontId="1" fillId="0" borderId="10" xfId="0" applyNumberFormat="1" applyFont="1" applyFill="1" applyBorder="1" applyAlignment="1">
      <alignment horizontal="center" vertical="center" wrapText="1"/>
    </xf>
    <xf numFmtId="164" fontId="1" fillId="0" borderId="10" xfId="0" applyNumberFormat="1" applyFont="1" applyFill="1" applyBorder="1" applyAlignment="1">
      <alignment horizontal="center" vertical="center" wrapText="1"/>
    </xf>
    <xf numFmtId="167" fontId="1" fillId="0" borderId="10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top" wrapText="1"/>
    </xf>
    <xf numFmtId="0" fontId="1" fillId="5" borderId="2" xfId="0" applyNumberFormat="1" applyFont="1" applyFill="1" applyBorder="1" applyAlignment="1">
      <alignment horizontal="center" vertical="top" wrapText="1"/>
    </xf>
    <xf numFmtId="0" fontId="1" fillId="5" borderId="3" xfId="0" applyNumberFormat="1" applyFont="1" applyFill="1" applyBorder="1" applyAlignment="1">
      <alignment horizontal="center" vertical="top" wrapText="1"/>
    </xf>
    <xf numFmtId="0" fontId="1" fillId="5" borderId="4" xfId="0" applyNumberFormat="1" applyFont="1" applyFill="1" applyBorder="1" applyAlignment="1">
      <alignment horizontal="center" vertical="top" wrapText="1"/>
    </xf>
    <xf numFmtId="0" fontId="1" fillId="5" borderId="0" xfId="0" applyNumberFormat="1" applyFont="1" applyFill="1" applyBorder="1" applyAlignment="1">
      <alignment horizontal="center" vertical="top" wrapText="1"/>
    </xf>
    <xf numFmtId="0" fontId="1" fillId="5" borderId="5" xfId="0" applyNumberFormat="1" applyFont="1" applyFill="1" applyBorder="1" applyAlignment="1">
      <alignment horizontal="center" vertical="top" wrapText="1"/>
    </xf>
    <xf numFmtId="0" fontId="1" fillId="5" borderId="6" xfId="0" applyNumberFormat="1" applyFont="1" applyFill="1" applyBorder="1" applyAlignment="1">
      <alignment horizontal="center" vertical="top" wrapText="1"/>
    </xf>
    <xf numFmtId="0" fontId="1" fillId="5" borderId="7" xfId="0" applyNumberFormat="1" applyFont="1" applyFill="1" applyBorder="1" applyAlignment="1">
      <alignment horizontal="center" vertical="top" wrapText="1"/>
    </xf>
    <xf numFmtId="0" fontId="1" fillId="5" borderId="8" xfId="0" applyNumberFormat="1" applyFont="1" applyFill="1" applyBorder="1" applyAlignment="1">
      <alignment horizontal="center" vertical="top" wrapText="1"/>
    </xf>
    <xf numFmtId="166" fontId="1" fillId="0" borderId="7" xfId="0" applyNumberFormat="1" applyFont="1" applyFill="1" applyBorder="1" applyAlignment="1">
      <alignment horizontal="center" vertical="center" wrapText="1"/>
    </xf>
    <xf numFmtId="10" fontId="1" fillId="0" borderId="7" xfId="0" applyNumberFormat="1" applyFont="1" applyFill="1" applyBorder="1" applyAlignment="1">
      <alignment horizontal="center" vertical="center" wrapText="1"/>
    </xf>
    <xf numFmtId="166" fontId="1" fillId="0" borderId="10" xfId="0" applyNumberFormat="1" applyFont="1" applyFill="1" applyBorder="1" applyAlignment="1">
      <alignment horizontal="center" vertical="center" wrapText="1"/>
    </xf>
    <xf numFmtId="10" fontId="1" fillId="0" borderId="10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 applyBorder="1" applyAlignment="1">
      <alignment horizontal="left" vertical="top" wrapText="1"/>
    </xf>
    <xf numFmtId="10" fontId="1" fillId="9" borderId="7" xfId="0" applyNumberFormat="1" applyFont="1" applyFill="1" applyBorder="1" applyAlignment="1">
      <alignment horizontal="center" vertical="center" wrapText="1"/>
    </xf>
    <xf numFmtId="10" fontId="1" fillId="9" borderId="10" xfId="0" applyNumberFormat="1" applyFont="1" applyFill="1" applyBorder="1" applyAlignment="1">
      <alignment horizontal="center" vertical="center" wrapText="1"/>
    </xf>
    <xf numFmtId="4" fontId="1" fillId="9" borderId="10" xfId="0" applyNumberFormat="1" applyFont="1" applyFill="1" applyBorder="1" applyAlignment="1">
      <alignment horizontal="center" vertical="center" wrapText="1"/>
    </xf>
    <xf numFmtId="164" fontId="1" fillId="9" borderId="10" xfId="0" applyNumberFormat="1" applyFont="1" applyFill="1" applyBorder="1" applyAlignment="1">
      <alignment horizontal="center" vertical="center" wrapText="1"/>
    </xf>
    <xf numFmtId="165" fontId="1" fillId="9" borderId="10" xfId="0" applyNumberFormat="1" applyFont="1" applyFill="1" applyBorder="1" applyAlignment="1">
      <alignment horizontal="center" vertical="center" wrapText="1"/>
    </xf>
    <xf numFmtId="0" fontId="1" fillId="9" borderId="10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left" vertical="center" wrapText="1"/>
    </xf>
    <xf numFmtId="0" fontId="1" fillId="0" borderId="10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 applyBorder="1" applyAlignment="1">
      <alignment horizontal="left" vertical="center"/>
    </xf>
    <xf numFmtId="0" fontId="5" fillId="0" borderId="9" xfId="0" applyNumberFormat="1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left" vertical="center" wrapText="1"/>
    </xf>
    <xf numFmtId="0" fontId="5" fillId="0" borderId="9" xfId="0" applyNumberFormat="1" applyFont="1" applyFill="1" applyBorder="1" applyAlignment="1">
      <alignment horizontal="left" vertical="center"/>
    </xf>
    <xf numFmtId="0" fontId="1" fillId="0" borderId="9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HCl collected pure CaCO₃ versus Na₂CO₃ volume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HCl collected pure CaCO₃ (g)</c:v>
          </c:tx>
          <c:marker>
            <c:symbol val="none"/>
          </c:marker>
          <c:cat>
            <c:numRef>
              <c:f>Sensitivity!$I$33:$I$41</c:f>
              <c:numCache>
                <c:formatCode>General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566</c:v>
                </c:pt>
                <c:pt idx="7">
                  <c:v>576</c:v>
                </c:pt>
                <c:pt idx="8">
                  <c:v>600</c:v>
                </c:pt>
              </c:numCache>
            </c:numRef>
          </c:cat>
          <c:val>
            <c:numRef>
              <c:f>Sensitivity!$J$33:$J$41</c:f>
              <c:numCache>
                <c:formatCode>General</c:formatCode>
                <c:ptCount val="9"/>
                <c:pt idx="0">
                  <c:v>0</c:v>
                </c:pt>
                <c:pt idx="1">
                  <c:v>9.023834904000001</c:v>
                </c:pt>
                <c:pt idx="2">
                  <c:v>18.047669808000002</c:v>
                </c:pt>
                <c:pt idx="3">
                  <c:v>27.071504711999999</c:v>
                </c:pt>
                <c:pt idx="4">
                  <c:v>36.095339616000004</c:v>
                </c:pt>
                <c:pt idx="5">
                  <c:v>45.119174520000001</c:v>
                </c:pt>
                <c:pt idx="6">
                  <c:v>47.238755762059867</c:v>
                </c:pt>
                <c:pt idx="7">
                  <c:v>47.238755762059867</c:v>
                </c:pt>
                <c:pt idx="8">
                  <c:v>47.238755762059867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0-4AF6-87FB-2425EEBE0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CaCO₃ formation and product recovery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CaCO₃ precipitated from Ca balance (g)</c:v>
          </c:tx>
          <c:invertIfNegative val="1"/>
          <c:cat>
            <c:strRef>
              <c:f>Results!$A$16:$A$17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Results!$B$16:$B$17</c:f>
              <c:numCache>
                <c:formatCode>0.00</c:formatCode>
                <c:ptCount val="2"/>
                <c:pt idx="0">
                  <c:v>51.346473654412897</c:v>
                </c:pt>
                <c:pt idx="1">
                  <c:v>50.473697306480354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5-4911-A417-C5994BC697E4}"/>
            </c:ext>
          </c:extLst>
        </c:ser>
        <c:ser>
          <c:idx val="1"/>
          <c:order val="1"/>
          <c:tx>
            <c:v>Recovered pure CaCO₃ (g)</c:v>
          </c:tx>
          <c:invertIfNegative val="1"/>
          <c:cat>
            <c:strRef>
              <c:f>Results!$A$16:$A$17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Results!$C$16:$C$17</c:f>
              <c:numCache>
                <c:formatCode>0.00</c:formatCode>
                <c:ptCount val="2"/>
                <c:pt idx="0">
                  <c:v>47.238755762059867</c:v>
                </c:pt>
                <c:pt idx="1">
                  <c:v>46.435801521961928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5-4911-A417-C5994BC697E4}"/>
            </c:ext>
          </c:extLst>
        </c:ser>
        <c:ser>
          <c:idx val="2"/>
          <c:order val="2"/>
          <c:tx>
            <c:v>Recovered dry product (g)</c:v>
          </c:tx>
          <c:invertIfNegative val="1"/>
          <c:cat>
            <c:strRef>
              <c:f>Results!$A$16:$A$17</c:f>
              <c:strCache>
                <c:ptCount val="2"/>
                <c:pt idx="0">
                  <c:v>HCl</c:v>
                </c:pt>
                <c:pt idx="1">
                  <c:v>HNO₃</c:v>
                </c:pt>
              </c:strCache>
            </c:strRef>
          </c:cat>
          <c:val>
            <c:numRef>
              <c:f>Results!$D$16:$D$17</c:f>
              <c:numCache>
                <c:formatCode>0.00</c:formatCode>
                <c:ptCount val="2"/>
                <c:pt idx="0">
                  <c:v>49.725006065326177</c:v>
                </c:pt>
                <c:pt idx="1">
                  <c:v>48.879791075749402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95-4911-A417-C5994BC69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zoomScaleNormal="100" workbookViewId="0">
      <selection activeCell="J16" sqref="J16:J17"/>
    </sheetView>
  </sheetViews>
  <sheetFormatPr defaultRowHeight="13.8"/>
  <cols>
    <col min="1" max="1" width="26.5" bestFit="1" customWidth="1"/>
    <col min="2" max="2" width="25" customWidth="1"/>
    <col min="3" max="3" width="20" customWidth="1"/>
    <col min="4" max="4" width="19" customWidth="1"/>
    <col min="5" max="5" width="20" customWidth="1"/>
    <col min="6" max="6" width="17" customWidth="1"/>
    <col min="7" max="8" width="18" customWidth="1"/>
  </cols>
  <sheetData>
    <row r="1" spans="1:8" ht="21.6" customHeight="1">
      <c r="A1" s="13" t="s">
        <v>247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</row>
    <row r="2" spans="1:8" ht="15" customHeight="1">
      <c r="A2" s="14" t="s">
        <v>248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2</v>
      </c>
      <c r="B4" s="15" t="s">
        <v>2</v>
      </c>
      <c r="C4" s="15" t="s">
        <v>2</v>
      </c>
      <c r="D4" s="15" t="s">
        <v>2</v>
      </c>
      <c r="E4" s="15" t="s">
        <v>2</v>
      </c>
      <c r="F4" s="15" t="s">
        <v>2</v>
      </c>
      <c r="G4" s="15" t="s">
        <v>2</v>
      </c>
      <c r="H4" s="15" t="s">
        <v>2</v>
      </c>
    </row>
    <row r="5" spans="1:8">
      <c r="A5" s="16" t="s">
        <v>249</v>
      </c>
      <c r="B5" s="17" t="s">
        <v>3</v>
      </c>
      <c r="C5" s="17" t="s">
        <v>3</v>
      </c>
      <c r="D5" s="17" t="s">
        <v>3</v>
      </c>
      <c r="E5" s="17" t="s">
        <v>3</v>
      </c>
      <c r="F5" s="17" t="s">
        <v>3</v>
      </c>
      <c r="G5" s="17" t="s">
        <v>3</v>
      </c>
      <c r="H5" s="18" t="s">
        <v>3</v>
      </c>
    </row>
    <row r="6" spans="1:8">
      <c r="A6" s="19" t="s">
        <v>3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3</v>
      </c>
      <c r="H6" s="21" t="s">
        <v>3</v>
      </c>
    </row>
    <row r="7" spans="1:8">
      <c r="A7" s="22" t="s">
        <v>3</v>
      </c>
      <c r="B7" s="23" t="s">
        <v>3</v>
      </c>
      <c r="C7" s="23" t="s">
        <v>3</v>
      </c>
      <c r="D7" s="23" t="s">
        <v>3</v>
      </c>
      <c r="E7" s="23" t="s">
        <v>3</v>
      </c>
      <c r="F7" s="23" t="s">
        <v>3</v>
      </c>
      <c r="G7" s="23" t="s">
        <v>3</v>
      </c>
      <c r="H7" s="24" t="s">
        <v>3</v>
      </c>
    </row>
    <row r="8" spans="1:8" ht="15" customHeight="1">
      <c r="A8" s="1"/>
      <c r="B8" s="1"/>
      <c r="C8" s="1"/>
      <c r="D8" s="1"/>
      <c r="E8" s="1"/>
      <c r="F8" s="1"/>
      <c r="G8" s="1"/>
      <c r="H8" s="1"/>
    </row>
    <row r="9" spans="1:8" ht="15" customHeight="1">
      <c r="A9" s="103" t="s">
        <v>250</v>
      </c>
      <c r="B9" s="103" t="s">
        <v>4</v>
      </c>
      <c r="C9" s="103" t="s">
        <v>4</v>
      </c>
      <c r="D9" s="103" t="s">
        <v>4</v>
      </c>
      <c r="E9" s="103" t="s">
        <v>4</v>
      </c>
      <c r="F9" s="103" t="s">
        <v>4</v>
      </c>
      <c r="G9" s="103" t="s">
        <v>4</v>
      </c>
      <c r="H9" s="103" t="s">
        <v>4</v>
      </c>
    </row>
    <row r="10" spans="1:8" ht="15" customHeight="1">
      <c r="A10" s="104" t="s">
        <v>251</v>
      </c>
      <c r="B10" s="105" t="s">
        <v>6</v>
      </c>
      <c r="C10" s="104" t="s">
        <v>7</v>
      </c>
      <c r="D10" s="105" t="s">
        <v>8</v>
      </c>
      <c r="E10" s="104" t="s">
        <v>9</v>
      </c>
      <c r="F10" s="105" t="s">
        <v>10</v>
      </c>
      <c r="G10" s="104" t="s">
        <v>11</v>
      </c>
      <c r="H10" s="105">
        <v>11.5</v>
      </c>
    </row>
    <row r="11" spans="1:8" ht="15" customHeight="1">
      <c r="A11" s="104" t="s">
        <v>12</v>
      </c>
      <c r="B11" s="105" t="s">
        <v>13</v>
      </c>
      <c r="C11" s="104" t="s">
        <v>14</v>
      </c>
      <c r="D11" s="105" t="s">
        <v>15</v>
      </c>
      <c r="E11" s="104" t="s">
        <v>16</v>
      </c>
      <c r="F11" s="105" t="s">
        <v>17</v>
      </c>
      <c r="G11" s="104" t="s">
        <v>18</v>
      </c>
      <c r="H11" s="105" t="s">
        <v>19</v>
      </c>
    </row>
    <row r="12" spans="1:8" ht="15" customHeight="1">
      <c r="A12" s="104" t="s">
        <v>20</v>
      </c>
      <c r="B12" s="105" t="s">
        <v>21</v>
      </c>
      <c r="C12" s="104" t="s">
        <v>14</v>
      </c>
      <c r="D12" s="105" t="s">
        <v>22</v>
      </c>
      <c r="E12" s="104" t="s">
        <v>16</v>
      </c>
      <c r="F12" s="105" t="s">
        <v>17</v>
      </c>
      <c r="G12" s="104" t="s">
        <v>18</v>
      </c>
      <c r="H12" s="105" t="s">
        <v>19</v>
      </c>
    </row>
    <row r="13" spans="1:8" ht="15" customHeight="1">
      <c r="A13" s="1"/>
      <c r="B13" s="1"/>
      <c r="C13" s="1"/>
      <c r="D13" s="1"/>
      <c r="E13" s="1"/>
      <c r="F13" s="1"/>
      <c r="G13" s="1"/>
      <c r="H13" s="1"/>
    </row>
    <row r="14" spans="1:8" ht="24" customHeight="1">
      <c r="A14" s="2" t="s">
        <v>23</v>
      </c>
      <c r="B14" s="2" t="s">
        <v>252</v>
      </c>
      <c r="C14" s="2" t="s">
        <v>24</v>
      </c>
      <c r="D14" s="2" t="s">
        <v>25</v>
      </c>
      <c r="E14" s="2" t="s">
        <v>26</v>
      </c>
      <c r="F14" s="2" t="s">
        <v>27</v>
      </c>
      <c r="G14" s="2" t="s">
        <v>28</v>
      </c>
      <c r="H14" s="2" t="s">
        <v>258</v>
      </c>
    </row>
    <row r="15" spans="1:8" ht="15" customHeight="1">
      <c r="A15" s="1"/>
      <c r="B15" s="1"/>
      <c r="C15" s="1"/>
      <c r="D15" s="1"/>
      <c r="E15" s="1"/>
      <c r="F15" s="1"/>
      <c r="G15" s="1"/>
      <c r="H15" s="1"/>
    </row>
    <row r="16" spans="1:8" ht="15" customHeight="1">
      <c r="A16" s="103" t="s">
        <v>253</v>
      </c>
      <c r="B16" s="103" t="s">
        <v>29</v>
      </c>
      <c r="C16" s="103" t="s">
        <v>29</v>
      </c>
      <c r="D16" s="103" t="s">
        <v>29</v>
      </c>
      <c r="E16" s="103" t="s">
        <v>29</v>
      </c>
      <c r="F16" s="103" t="s">
        <v>29</v>
      </c>
      <c r="G16" s="103" t="s">
        <v>29</v>
      </c>
      <c r="H16" s="103" t="s">
        <v>29</v>
      </c>
    </row>
    <row r="17" spans="1:8" ht="15" customHeight="1">
      <c r="A17" s="106" t="s">
        <v>30</v>
      </c>
      <c r="B17" s="107" t="s">
        <v>31</v>
      </c>
      <c r="C17" s="107"/>
      <c r="D17" s="107"/>
      <c r="E17" s="107"/>
      <c r="F17" s="107"/>
      <c r="G17" s="107"/>
      <c r="H17" s="107"/>
    </row>
    <row r="18" spans="1:8" ht="15" customHeight="1">
      <c r="A18" s="106" t="s">
        <v>32</v>
      </c>
      <c r="B18" s="107" t="s">
        <v>33</v>
      </c>
      <c r="C18" s="107"/>
      <c r="D18" s="107"/>
      <c r="E18" s="107"/>
      <c r="F18" s="107"/>
      <c r="G18" s="107"/>
      <c r="H18" s="107"/>
    </row>
    <row r="19" spans="1:8" ht="15" customHeight="1">
      <c r="A19" s="106" t="s">
        <v>34</v>
      </c>
      <c r="B19" s="107" t="s">
        <v>35</v>
      </c>
      <c r="C19" s="107"/>
      <c r="D19" s="107"/>
      <c r="E19" s="107"/>
      <c r="F19" s="107"/>
      <c r="G19" s="107"/>
      <c r="H19" s="107"/>
    </row>
    <row r="20" spans="1:8" ht="15" customHeight="1">
      <c r="A20" s="106" t="s">
        <v>36</v>
      </c>
      <c r="B20" s="107" t="s">
        <v>37</v>
      </c>
      <c r="C20" s="107"/>
      <c r="D20" s="107"/>
      <c r="E20" s="107"/>
      <c r="F20" s="107"/>
      <c r="G20" s="107"/>
      <c r="H20" s="107"/>
    </row>
    <row r="21" spans="1:8" ht="15" customHeight="1">
      <c r="A21" s="106" t="s">
        <v>38</v>
      </c>
      <c r="B21" s="107" t="s">
        <v>39</v>
      </c>
      <c r="C21" s="107"/>
      <c r="D21" s="107"/>
      <c r="E21" s="107"/>
      <c r="F21" s="107"/>
      <c r="G21" s="107"/>
      <c r="H21" s="107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5" t="s">
        <v>254</v>
      </c>
      <c r="B23" s="15" t="s">
        <v>40</v>
      </c>
      <c r="C23" s="15" t="s">
        <v>40</v>
      </c>
      <c r="D23" s="15" t="s">
        <v>40</v>
      </c>
      <c r="E23" s="15" t="s">
        <v>40</v>
      </c>
      <c r="F23" s="15" t="s">
        <v>40</v>
      </c>
      <c r="G23" s="15" t="s">
        <v>40</v>
      </c>
      <c r="H23" s="15" t="s">
        <v>40</v>
      </c>
    </row>
    <row r="24" spans="1:8">
      <c r="A24" s="25" t="s">
        <v>255</v>
      </c>
      <c r="B24" s="26" t="s">
        <v>41</v>
      </c>
      <c r="C24" s="26" t="s">
        <v>41</v>
      </c>
      <c r="D24" s="26" t="s">
        <v>41</v>
      </c>
      <c r="E24" s="26" t="s">
        <v>41</v>
      </c>
      <c r="F24" s="26" t="s">
        <v>41</v>
      </c>
      <c r="G24" s="26" t="s">
        <v>41</v>
      </c>
      <c r="H24" s="27" t="s">
        <v>41</v>
      </c>
    </row>
    <row r="25" spans="1:8">
      <c r="A25" s="28" t="s">
        <v>41</v>
      </c>
      <c r="B25" s="29" t="s">
        <v>41</v>
      </c>
      <c r="C25" s="29" t="s">
        <v>41</v>
      </c>
      <c r="D25" s="29" t="s">
        <v>41</v>
      </c>
      <c r="E25" s="29" t="s">
        <v>41</v>
      </c>
      <c r="F25" s="29" t="s">
        <v>41</v>
      </c>
      <c r="G25" s="29" t="s">
        <v>41</v>
      </c>
      <c r="H25" s="30" t="s">
        <v>41</v>
      </c>
    </row>
    <row r="26" spans="1:8">
      <c r="A26" s="28" t="s">
        <v>41</v>
      </c>
      <c r="B26" s="29" t="s">
        <v>41</v>
      </c>
      <c r="C26" s="29" t="s">
        <v>41</v>
      </c>
      <c r="D26" s="29" t="s">
        <v>41</v>
      </c>
      <c r="E26" s="29" t="s">
        <v>41</v>
      </c>
      <c r="F26" s="29" t="s">
        <v>41</v>
      </c>
      <c r="G26" s="29" t="s">
        <v>41</v>
      </c>
      <c r="H26" s="30" t="s">
        <v>41</v>
      </c>
    </row>
    <row r="27" spans="1:8">
      <c r="A27" s="31" t="s">
        <v>41</v>
      </c>
      <c r="B27" s="32" t="s">
        <v>41</v>
      </c>
      <c r="C27" s="32" t="s">
        <v>41</v>
      </c>
      <c r="D27" s="32" t="s">
        <v>41</v>
      </c>
      <c r="E27" s="32" t="s">
        <v>41</v>
      </c>
      <c r="F27" s="32" t="s">
        <v>41</v>
      </c>
      <c r="G27" s="32" t="s">
        <v>41</v>
      </c>
      <c r="H27" s="33" t="s">
        <v>41</v>
      </c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5" t="s">
        <v>256</v>
      </c>
      <c r="B29" s="15" t="s">
        <v>42</v>
      </c>
      <c r="C29" s="15" t="s">
        <v>42</v>
      </c>
      <c r="D29" s="15" t="s">
        <v>42</v>
      </c>
      <c r="E29" s="15" t="s">
        <v>42</v>
      </c>
      <c r="F29" s="15" t="s">
        <v>42</v>
      </c>
      <c r="G29" s="15" t="s">
        <v>42</v>
      </c>
      <c r="H29" s="15" t="s">
        <v>42</v>
      </c>
    </row>
    <row r="30" spans="1:8">
      <c r="A30" s="16" t="s">
        <v>257</v>
      </c>
      <c r="B30" s="17" t="s">
        <v>43</v>
      </c>
      <c r="C30" s="17" t="s">
        <v>43</v>
      </c>
      <c r="D30" s="17" t="s">
        <v>43</v>
      </c>
      <c r="E30" s="17" t="s">
        <v>43</v>
      </c>
      <c r="F30" s="17" t="s">
        <v>43</v>
      </c>
      <c r="G30" s="17" t="s">
        <v>43</v>
      </c>
      <c r="H30" s="18" t="s">
        <v>43</v>
      </c>
    </row>
    <row r="31" spans="1:8">
      <c r="A31" s="22" t="s">
        <v>43</v>
      </c>
      <c r="B31" s="23" t="s">
        <v>43</v>
      </c>
      <c r="C31" s="23" t="s">
        <v>43</v>
      </c>
      <c r="D31" s="23" t="s">
        <v>43</v>
      </c>
      <c r="E31" s="23" t="s">
        <v>43</v>
      </c>
      <c r="F31" s="23" t="s">
        <v>43</v>
      </c>
      <c r="G31" s="23" t="s">
        <v>43</v>
      </c>
      <c r="H31" s="24" t="s">
        <v>43</v>
      </c>
    </row>
  </sheetData>
  <mergeCells count="15">
    <mergeCell ref="B21:H21"/>
    <mergeCell ref="A23:H23"/>
    <mergeCell ref="A24:H27"/>
    <mergeCell ref="A29:H29"/>
    <mergeCell ref="A30:H31"/>
    <mergeCell ref="A16:H16"/>
    <mergeCell ref="B17:H17"/>
    <mergeCell ref="B18:H18"/>
    <mergeCell ref="B19:H19"/>
    <mergeCell ref="B20:H20"/>
    <mergeCell ref="A1:H1"/>
    <mergeCell ref="A2:H2"/>
    <mergeCell ref="A4:H4"/>
    <mergeCell ref="A5:H7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showGridLines="0" workbookViewId="0">
      <selection activeCell="B13" sqref="B13"/>
    </sheetView>
  </sheetViews>
  <sheetFormatPr defaultRowHeight="13.8"/>
  <cols>
    <col min="1" max="1" width="19" customWidth="1"/>
    <col min="2" max="2" width="30.69921875" customWidth="1"/>
    <col min="3" max="3" width="18.8984375" style="73" customWidth="1"/>
    <col min="4" max="4" width="17" style="73" customWidth="1"/>
    <col min="5" max="5" width="15" customWidth="1"/>
    <col min="6" max="6" width="23" customWidth="1"/>
    <col min="7" max="7" width="43" customWidth="1"/>
  </cols>
  <sheetData>
    <row r="1" spans="1:7" ht="21.6" customHeight="1">
      <c r="A1" s="13" t="s">
        <v>232</v>
      </c>
      <c r="B1" s="13" t="s">
        <v>44</v>
      </c>
      <c r="C1" s="13" t="s">
        <v>44</v>
      </c>
      <c r="D1" s="13" t="s">
        <v>44</v>
      </c>
      <c r="E1" s="13" t="s">
        <v>44</v>
      </c>
      <c r="F1" s="13" t="s">
        <v>44</v>
      </c>
      <c r="G1" s="13" t="s">
        <v>44</v>
      </c>
    </row>
    <row r="2" spans="1:7" ht="15" customHeight="1">
      <c r="A2" s="14" t="s">
        <v>233</v>
      </c>
      <c r="B2" s="14" t="s">
        <v>45</v>
      </c>
      <c r="C2" s="14" t="s">
        <v>45</v>
      </c>
      <c r="D2" s="14" t="s">
        <v>45</v>
      </c>
      <c r="E2" s="14" t="s">
        <v>45</v>
      </c>
      <c r="F2" s="14" t="s">
        <v>45</v>
      </c>
      <c r="G2" s="14" t="s">
        <v>45</v>
      </c>
    </row>
    <row r="3" spans="1:7" ht="15" customHeight="1">
      <c r="A3" s="1"/>
      <c r="B3" s="1"/>
      <c r="C3" s="72"/>
      <c r="D3" s="72"/>
      <c r="E3" s="1"/>
      <c r="F3" s="1"/>
      <c r="G3" s="1"/>
    </row>
    <row r="4" spans="1:7" ht="15" customHeight="1">
      <c r="A4" s="63" t="s">
        <v>46</v>
      </c>
      <c r="B4" s="63" t="s">
        <v>47</v>
      </c>
      <c r="C4" s="63" t="s">
        <v>48</v>
      </c>
      <c r="D4" s="63" t="s">
        <v>49</v>
      </c>
      <c r="E4" s="63" t="s">
        <v>50</v>
      </c>
      <c r="F4" s="63" t="s">
        <v>51</v>
      </c>
      <c r="G4" s="63" t="s">
        <v>52</v>
      </c>
    </row>
    <row r="5" spans="1:7" ht="20.399999999999999" customHeight="1">
      <c r="A5" s="64" t="s">
        <v>53</v>
      </c>
      <c r="B5" s="64" t="s">
        <v>54</v>
      </c>
      <c r="C5" s="95">
        <v>0.93289999999999995</v>
      </c>
      <c r="D5" s="95">
        <v>0.93820000000000003</v>
      </c>
      <c r="E5" s="64" t="s">
        <v>55</v>
      </c>
      <c r="F5" s="64" t="s">
        <v>234</v>
      </c>
      <c r="G5" s="64" t="s">
        <v>56</v>
      </c>
    </row>
    <row r="6" spans="1:7" ht="15" customHeight="1">
      <c r="A6" s="66" t="s">
        <v>57</v>
      </c>
      <c r="B6" s="66" t="s">
        <v>58</v>
      </c>
      <c r="C6" s="96">
        <v>0.62090000000000001</v>
      </c>
      <c r="D6" s="96">
        <v>0.62090000000000001</v>
      </c>
      <c r="E6" s="66" t="s">
        <v>55</v>
      </c>
      <c r="F6" s="66" t="s">
        <v>235</v>
      </c>
      <c r="G6" s="66" t="s">
        <v>59</v>
      </c>
    </row>
    <row r="7" spans="1:7" ht="15" customHeight="1">
      <c r="A7" s="66" t="s">
        <v>5</v>
      </c>
      <c r="B7" s="66" t="s">
        <v>60</v>
      </c>
      <c r="C7" s="97">
        <v>20980.38</v>
      </c>
      <c r="D7" s="97">
        <v>20623.759999999998</v>
      </c>
      <c r="E7" s="66" t="s">
        <v>61</v>
      </c>
      <c r="F7" s="66" t="s">
        <v>236</v>
      </c>
      <c r="G7" s="66" t="s">
        <v>62</v>
      </c>
    </row>
    <row r="8" spans="1:7" ht="15" customHeight="1">
      <c r="A8" s="66" t="s">
        <v>63</v>
      </c>
      <c r="B8" s="66" t="s">
        <v>64</v>
      </c>
      <c r="C8" s="98">
        <v>1</v>
      </c>
      <c r="D8" s="98">
        <v>1</v>
      </c>
      <c r="E8" s="66" t="s">
        <v>65</v>
      </c>
      <c r="F8" s="66" t="s">
        <v>237</v>
      </c>
      <c r="G8" s="66" t="s">
        <v>66</v>
      </c>
    </row>
    <row r="9" spans="1:7" ht="15" customHeight="1">
      <c r="A9" s="66" t="s">
        <v>63</v>
      </c>
      <c r="B9" s="66" t="s">
        <v>7</v>
      </c>
      <c r="C9" s="98">
        <v>1</v>
      </c>
      <c r="D9" s="98">
        <v>1</v>
      </c>
      <c r="E9" s="66" t="s">
        <v>67</v>
      </c>
      <c r="F9" s="66" t="s">
        <v>237</v>
      </c>
      <c r="G9" s="66" t="s">
        <v>66</v>
      </c>
    </row>
    <row r="10" spans="1:7" ht="15" customHeight="1">
      <c r="A10" s="66" t="s">
        <v>63</v>
      </c>
      <c r="B10" s="66" t="s">
        <v>68</v>
      </c>
      <c r="C10" s="98">
        <v>576</v>
      </c>
      <c r="D10" s="98">
        <v>576</v>
      </c>
      <c r="E10" s="66" t="s">
        <v>69</v>
      </c>
      <c r="F10" s="66" t="s">
        <v>237</v>
      </c>
      <c r="G10" s="66" t="s">
        <v>66</v>
      </c>
    </row>
    <row r="11" spans="1:7" ht="15" customHeight="1">
      <c r="A11" s="66" t="s">
        <v>63</v>
      </c>
      <c r="B11" s="66" t="s">
        <v>11</v>
      </c>
      <c r="C11" s="99">
        <v>11.5</v>
      </c>
      <c r="D11" s="99">
        <v>11.5</v>
      </c>
      <c r="E11" s="66" t="s">
        <v>70</v>
      </c>
      <c r="F11" s="66" t="s">
        <v>237</v>
      </c>
      <c r="G11" s="66" t="s">
        <v>71</v>
      </c>
    </row>
    <row r="12" spans="1:7" ht="15" customHeight="1">
      <c r="A12" s="66" t="s">
        <v>63</v>
      </c>
      <c r="B12" s="66" t="s">
        <v>72</v>
      </c>
      <c r="C12" s="99">
        <v>25</v>
      </c>
      <c r="D12" s="99">
        <v>25</v>
      </c>
      <c r="E12" s="66" t="s">
        <v>73</v>
      </c>
      <c r="F12" s="66" t="s">
        <v>237</v>
      </c>
      <c r="G12" s="66" t="s">
        <v>74</v>
      </c>
    </row>
    <row r="13" spans="1:7" ht="15" customHeight="1">
      <c r="A13" s="66" t="s">
        <v>63</v>
      </c>
      <c r="B13" s="66" t="s">
        <v>75</v>
      </c>
      <c r="C13" s="99">
        <v>200</v>
      </c>
      <c r="D13" s="99">
        <v>200</v>
      </c>
      <c r="E13" s="66" t="s">
        <v>76</v>
      </c>
      <c r="F13" s="66" t="s">
        <v>237</v>
      </c>
      <c r="G13" s="66" t="s">
        <v>77</v>
      </c>
    </row>
    <row r="14" spans="1:7" ht="15" customHeight="1">
      <c r="A14" s="66" t="s">
        <v>63</v>
      </c>
      <c r="B14" s="66" t="s">
        <v>78</v>
      </c>
      <c r="C14" s="99">
        <v>60</v>
      </c>
      <c r="D14" s="99">
        <v>60</v>
      </c>
      <c r="E14" s="66" t="s">
        <v>79</v>
      </c>
      <c r="F14" s="66" t="s">
        <v>237</v>
      </c>
      <c r="G14" s="66" t="s">
        <v>80</v>
      </c>
    </row>
    <row r="15" spans="1:7" ht="15" customHeight="1">
      <c r="A15" s="66" t="s">
        <v>81</v>
      </c>
      <c r="B15" s="66" t="s">
        <v>238</v>
      </c>
      <c r="C15" s="100" t="s">
        <v>82</v>
      </c>
      <c r="D15" s="100" t="s">
        <v>82</v>
      </c>
      <c r="E15" s="66" t="s">
        <v>83</v>
      </c>
      <c r="F15" s="66" t="s">
        <v>239</v>
      </c>
      <c r="G15" s="66" t="s">
        <v>84</v>
      </c>
    </row>
    <row r="16" spans="1:7" ht="15" customHeight="1">
      <c r="A16" s="6"/>
      <c r="B16" s="6"/>
      <c r="C16" s="60"/>
      <c r="D16" s="60"/>
      <c r="E16" s="6"/>
      <c r="F16" s="6"/>
      <c r="G16" s="6"/>
    </row>
    <row r="17" spans="1:7" ht="15" customHeight="1">
      <c r="A17" s="34" t="s">
        <v>240</v>
      </c>
      <c r="B17" s="34" t="s">
        <v>85</v>
      </c>
      <c r="C17" s="34" t="s">
        <v>85</v>
      </c>
      <c r="D17" s="34" t="s">
        <v>85</v>
      </c>
      <c r="E17" s="34" t="s">
        <v>85</v>
      </c>
      <c r="F17" s="34" t="s">
        <v>85</v>
      </c>
      <c r="G17" s="34" t="s">
        <v>85</v>
      </c>
    </row>
    <row r="18" spans="1:7" ht="15" customHeight="1">
      <c r="A18" s="4" t="s">
        <v>86</v>
      </c>
      <c r="B18" s="4" t="s">
        <v>241</v>
      </c>
      <c r="C18" s="95">
        <v>0.98</v>
      </c>
      <c r="D18" s="95">
        <v>0.98</v>
      </c>
      <c r="E18" s="4" t="s">
        <v>55</v>
      </c>
      <c r="F18" s="4" t="s">
        <v>243</v>
      </c>
      <c r="G18" s="4"/>
    </row>
    <row r="19" spans="1:7" ht="15" customHeight="1">
      <c r="A19" s="5" t="s">
        <v>86</v>
      </c>
      <c r="B19" s="5" t="s">
        <v>242</v>
      </c>
      <c r="C19" s="96">
        <v>0.92</v>
      </c>
      <c r="D19" s="96">
        <v>0.92</v>
      </c>
      <c r="E19" s="5" t="s">
        <v>55</v>
      </c>
      <c r="F19" s="4" t="s">
        <v>243</v>
      </c>
      <c r="G19" s="5" t="s">
        <v>87</v>
      </c>
    </row>
    <row r="20" spans="1:7" ht="15" customHeight="1">
      <c r="A20" s="5" t="s">
        <v>86</v>
      </c>
      <c r="B20" s="5" t="s">
        <v>88</v>
      </c>
      <c r="C20" s="96">
        <v>0.95</v>
      </c>
      <c r="D20" s="96">
        <v>0.95</v>
      </c>
      <c r="E20" s="5" t="s">
        <v>55</v>
      </c>
      <c r="F20" s="4" t="s">
        <v>243</v>
      </c>
      <c r="G20" s="5"/>
    </row>
    <row r="21" spans="1:7" ht="15" customHeight="1">
      <c r="A21" s="6"/>
      <c r="B21" s="6"/>
      <c r="C21" s="60"/>
      <c r="D21" s="60"/>
      <c r="E21" s="6"/>
      <c r="F21" s="6"/>
      <c r="G21" s="6"/>
    </row>
    <row r="22" spans="1:7" ht="15" customHeight="1">
      <c r="A22" s="34" t="s">
        <v>244</v>
      </c>
      <c r="B22" s="34" t="s">
        <v>89</v>
      </c>
      <c r="C22" s="34" t="s">
        <v>89</v>
      </c>
      <c r="D22" s="34" t="s">
        <v>89</v>
      </c>
      <c r="E22" s="34" t="s">
        <v>89</v>
      </c>
      <c r="F22" s="34" t="s">
        <v>89</v>
      </c>
      <c r="G22" s="34" t="s">
        <v>89</v>
      </c>
    </row>
    <row r="23" spans="1:7" ht="41.4">
      <c r="A23" s="101" t="s">
        <v>90</v>
      </c>
      <c r="B23" s="101" t="s">
        <v>91</v>
      </c>
      <c r="C23" s="101" t="s">
        <v>245</v>
      </c>
      <c r="D23" s="101" t="s">
        <v>92</v>
      </c>
      <c r="E23" s="101" t="s">
        <v>93</v>
      </c>
      <c r="F23" s="101"/>
      <c r="G23" s="101"/>
    </row>
    <row r="24" spans="1:7" ht="27.6">
      <c r="A24" s="102" t="s">
        <v>94</v>
      </c>
      <c r="B24" s="102" t="s">
        <v>95</v>
      </c>
      <c r="C24" s="102" t="s">
        <v>96</v>
      </c>
      <c r="D24" s="102" t="s">
        <v>92</v>
      </c>
      <c r="E24" s="102" t="s">
        <v>97</v>
      </c>
      <c r="F24" s="102" t="s">
        <v>98</v>
      </c>
      <c r="G24" s="102" t="s">
        <v>99</v>
      </c>
    </row>
    <row r="25" spans="1:7" ht="55.2">
      <c r="A25" s="102" t="s">
        <v>100</v>
      </c>
      <c r="B25" s="102" t="s">
        <v>101</v>
      </c>
      <c r="C25" s="102" t="s">
        <v>246</v>
      </c>
      <c r="D25" s="102" t="s">
        <v>92</v>
      </c>
      <c r="E25" s="102" t="s">
        <v>97</v>
      </c>
      <c r="F25" s="102" t="s">
        <v>98</v>
      </c>
      <c r="G25" s="102" t="s">
        <v>102</v>
      </c>
    </row>
    <row r="26" spans="1:7" ht="41.4">
      <c r="A26" s="102" t="s">
        <v>103</v>
      </c>
      <c r="B26" s="102" t="s">
        <v>104</v>
      </c>
      <c r="C26" s="102" t="s">
        <v>105</v>
      </c>
      <c r="D26" s="102" t="s">
        <v>92</v>
      </c>
      <c r="E26" s="102" t="s">
        <v>93</v>
      </c>
      <c r="F26" s="102" t="s">
        <v>98</v>
      </c>
      <c r="G26" s="102" t="s">
        <v>106</v>
      </c>
    </row>
    <row r="27" spans="1:7" ht="41.4">
      <c r="A27" s="102" t="s">
        <v>107</v>
      </c>
      <c r="B27" s="102" t="s">
        <v>108</v>
      </c>
      <c r="C27" s="102" t="s">
        <v>109</v>
      </c>
      <c r="D27" s="102" t="s">
        <v>92</v>
      </c>
      <c r="E27" s="102" t="s">
        <v>93</v>
      </c>
      <c r="F27" s="102" t="s">
        <v>98</v>
      </c>
      <c r="G27" s="102" t="s">
        <v>110</v>
      </c>
    </row>
    <row r="28" spans="1:7" ht="35.4" customHeight="1">
      <c r="A28" s="102" t="s">
        <v>111</v>
      </c>
      <c r="B28" s="102" t="s">
        <v>112</v>
      </c>
      <c r="C28" s="102" t="s">
        <v>113</v>
      </c>
      <c r="D28" s="102" t="s">
        <v>92</v>
      </c>
      <c r="E28" s="102" t="s">
        <v>65</v>
      </c>
      <c r="F28" s="102" t="s">
        <v>98</v>
      </c>
      <c r="G28" s="102" t="s">
        <v>114</v>
      </c>
    </row>
    <row r="29" spans="1:7" ht="41.4">
      <c r="A29" s="102" t="s">
        <v>115</v>
      </c>
      <c r="B29" s="102" t="s">
        <v>116</v>
      </c>
      <c r="C29" s="102" t="s">
        <v>117</v>
      </c>
      <c r="D29" s="102" t="s">
        <v>92</v>
      </c>
      <c r="E29" s="102" t="s">
        <v>118</v>
      </c>
      <c r="F29" s="102" t="s">
        <v>119</v>
      </c>
      <c r="G29" s="102"/>
    </row>
    <row r="30" spans="1:7" ht="15" customHeight="1">
      <c r="A30" s="6"/>
      <c r="B30" s="6"/>
      <c r="C30" s="60"/>
      <c r="D30" s="60"/>
      <c r="E30" s="6"/>
      <c r="F30" s="6"/>
      <c r="G30" s="6"/>
    </row>
    <row r="31" spans="1:7" ht="15" customHeight="1">
      <c r="A31" s="34" t="s">
        <v>120</v>
      </c>
      <c r="B31" s="34" t="s">
        <v>120</v>
      </c>
      <c r="C31" s="34" t="s">
        <v>120</v>
      </c>
      <c r="D31" s="34" t="s">
        <v>120</v>
      </c>
      <c r="E31" s="34" t="s">
        <v>120</v>
      </c>
      <c r="F31" s="34" t="s">
        <v>120</v>
      </c>
      <c r="G31" s="34" t="s">
        <v>120</v>
      </c>
    </row>
    <row r="32" spans="1:7" ht="15" customHeight="1">
      <c r="A32" s="3" t="s">
        <v>121</v>
      </c>
      <c r="B32" s="3" t="s">
        <v>122</v>
      </c>
      <c r="C32" s="63" t="s">
        <v>123</v>
      </c>
      <c r="D32" s="63" t="s">
        <v>51</v>
      </c>
      <c r="E32" s="6"/>
      <c r="F32" s="6"/>
      <c r="G32" s="6"/>
    </row>
    <row r="33" spans="1:7" ht="15" customHeight="1">
      <c r="A33" s="4" t="s">
        <v>124</v>
      </c>
      <c r="B33" s="4" t="s">
        <v>125</v>
      </c>
      <c r="C33" s="89">
        <v>40.078000000000003</v>
      </c>
      <c r="D33" s="64" t="s">
        <v>126</v>
      </c>
      <c r="E33" s="6"/>
      <c r="F33" s="6"/>
      <c r="G33" s="6"/>
    </row>
    <row r="34" spans="1:7" ht="15" customHeight="1">
      <c r="A34" s="5" t="s">
        <v>127</v>
      </c>
      <c r="B34" s="5" t="s">
        <v>128</v>
      </c>
      <c r="C34" s="91">
        <v>44.009500000000003</v>
      </c>
      <c r="D34" s="66" t="s">
        <v>126</v>
      </c>
      <c r="E34" s="6"/>
      <c r="F34" s="6"/>
      <c r="G34" s="6"/>
    </row>
    <row r="35" spans="1:7" ht="15" customHeight="1">
      <c r="A35" s="5" t="s">
        <v>129</v>
      </c>
      <c r="B35" s="5" t="s">
        <v>130</v>
      </c>
      <c r="C35" s="91">
        <v>100.0869</v>
      </c>
      <c r="D35" s="66" t="s">
        <v>126</v>
      </c>
      <c r="E35" s="6"/>
      <c r="F35" s="6"/>
      <c r="G35" s="6"/>
    </row>
    <row r="36" spans="1:7" ht="15" customHeight="1">
      <c r="A36" s="5" t="s">
        <v>131</v>
      </c>
      <c r="B36" s="5" t="s">
        <v>132</v>
      </c>
      <c r="C36" s="91">
        <v>105.9888</v>
      </c>
      <c r="D36" s="66" t="s">
        <v>126</v>
      </c>
      <c r="E36" s="6"/>
      <c r="F36" s="6"/>
      <c r="G36" s="6"/>
    </row>
    <row r="37" spans="1:7" ht="15" customHeight="1">
      <c r="A37" s="6"/>
      <c r="B37" s="6"/>
      <c r="C37" s="60"/>
      <c r="D37" s="60"/>
      <c r="E37" s="6"/>
      <c r="F37" s="6"/>
      <c r="G37" s="6"/>
    </row>
  </sheetData>
  <mergeCells count="5">
    <mergeCell ref="A1:G1"/>
    <mergeCell ref="A2:G2"/>
    <mergeCell ref="A17:G17"/>
    <mergeCell ref="A22:G22"/>
    <mergeCell ref="A31:G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topLeftCell="A10" workbookViewId="0">
      <selection activeCell="B28" sqref="B28"/>
    </sheetView>
  </sheetViews>
  <sheetFormatPr defaultRowHeight="13.8"/>
  <cols>
    <col min="1" max="1" width="17" customWidth="1"/>
    <col min="2" max="2" width="19" customWidth="1"/>
    <col min="3" max="3" width="21.296875" customWidth="1"/>
    <col min="4" max="4" width="19" customWidth="1"/>
    <col min="5" max="5" width="21.09765625" customWidth="1"/>
    <col min="6" max="6" width="14.59765625" customWidth="1"/>
    <col min="7" max="7" width="16.296875" customWidth="1"/>
    <col min="8" max="8" width="19" customWidth="1"/>
  </cols>
  <sheetData>
    <row r="1" spans="1:8" ht="21.6" customHeight="1">
      <c r="A1" s="13" t="s">
        <v>133</v>
      </c>
      <c r="B1" s="13" t="s">
        <v>133</v>
      </c>
      <c r="C1" s="13" t="s">
        <v>133</v>
      </c>
      <c r="D1" s="13" t="s">
        <v>133</v>
      </c>
      <c r="E1" s="13" t="s">
        <v>133</v>
      </c>
      <c r="F1" s="13" t="s">
        <v>133</v>
      </c>
      <c r="G1" s="13" t="s">
        <v>133</v>
      </c>
      <c r="H1" s="13" t="s">
        <v>133</v>
      </c>
    </row>
    <row r="2" spans="1:8" ht="15" customHeight="1">
      <c r="A2" s="14" t="s">
        <v>134</v>
      </c>
      <c r="B2" s="14" t="s">
        <v>134</v>
      </c>
      <c r="C2" s="14" t="s">
        <v>134</v>
      </c>
      <c r="D2" s="14" t="s">
        <v>134</v>
      </c>
      <c r="E2" s="14" t="s">
        <v>134</v>
      </c>
      <c r="F2" s="14" t="s">
        <v>134</v>
      </c>
      <c r="G2" s="14" t="s">
        <v>134</v>
      </c>
      <c r="H2" s="14" t="s">
        <v>134</v>
      </c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5" t="s">
        <v>135</v>
      </c>
      <c r="B4" s="15" t="s">
        <v>135</v>
      </c>
      <c r="C4" s="15" t="s">
        <v>135</v>
      </c>
      <c r="D4" s="15" t="s">
        <v>135</v>
      </c>
      <c r="E4" s="15" t="s">
        <v>135</v>
      </c>
      <c r="F4" s="15" t="s">
        <v>135</v>
      </c>
      <c r="G4" s="15" t="s">
        <v>135</v>
      </c>
      <c r="H4" s="15" t="s">
        <v>135</v>
      </c>
    </row>
    <row r="5" spans="1:8" ht="36" customHeight="1">
      <c r="A5" s="3" t="s">
        <v>136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141</v>
      </c>
      <c r="G5" s="3" t="s">
        <v>142</v>
      </c>
      <c r="H5" s="3" t="s">
        <v>143</v>
      </c>
    </row>
    <row r="6" spans="1:8" ht="15" customHeight="1">
      <c r="A6" s="4" t="s">
        <v>144</v>
      </c>
      <c r="B6" s="9">
        <f>Inputs!C7</f>
        <v>20980.38</v>
      </c>
      <c r="C6" s="7">
        <f>Inputs!C8</f>
        <v>1</v>
      </c>
      <c r="D6" s="7">
        <f>B6*C6/1000</f>
        <v>20.98038</v>
      </c>
      <c r="E6" s="7">
        <f>D6/Inputs!$C$33</f>
        <v>0.5234886970407705</v>
      </c>
      <c r="F6" s="7">
        <f>Inputs!C9</f>
        <v>1</v>
      </c>
      <c r="G6" s="7">
        <f>Inputs!C10</f>
        <v>576</v>
      </c>
      <c r="H6" s="7">
        <f>F6*G6/1000</f>
        <v>0.57599999999999996</v>
      </c>
    </row>
    <row r="7" spans="1:8" ht="15" customHeight="1">
      <c r="A7" s="5" t="s">
        <v>145</v>
      </c>
      <c r="B7" s="10">
        <f>Inputs!D7</f>
        <v>20623.759999999998</v>
      </c>
      <c r="C7" s="8">
        <f>Inputs!D8</f>
        <v>1</v>
      </c>
      <c r="D7" s="8">
        <f>B7*C7/1000</f>
        <v>20.623759999999997</v>
      </c>
      <c r="E7" s="8">
        <f>D7/Inputs!$C$33</f>
        <v>0.51459054843056029</v>
      </c>
      <c r="F7" s="8">
        <f>Inputs!D9</f>
        <v>1</v>
      </c>
      <c r="G7" s="8">
        <f>Inputs!D10</f>
        <v>576</v>
      </c>
      <c r="H7" s="8">
        <f>F7*G7/1000</f>
        <v>0.57599999999999996</v>
      </c>
    </row>
    <row r="8" spans="1:8" ht="15" customHeight="1">
      <c r="A8" s="6"/>
      <c r="B8" s="6"/>
      <c r="C8" s="6"/>
      <c r="D8" s="6"/>
      <c r="E8" s="6"/>
      <c r="F8" s="6"/>
      <c r="G8" s="6"/>
      <c r="H8" s="6"/>
    </row>
    <row r="9" spans="1:8" ht="15" customHeight="1">
      <c r="A9" s="6"/>
      <c r="B9" s="6"/>
      <c r="C9" s="6"/>
      <c r="D9" s="6"/>
      <c r="E9" s="6"/>
      <c r="F9" s="6"/>
      <c r="G9" s="6"/>
      <c r="H9" s="6"/>
    </row>
    <row r="10" spans="1:8" ht="15" customHeight="1">
      <c r="A10" s="94" t="s">
        <v>229</v>
      </c>
      <c r="B10" s="94" t="s">
        <v>146</v>
      </c>
      <c r="C10" s="94" t="s">
        <v>146</v>
      </c>
      <c r="D10" s="94" t="s">
        <v>146</v>
      </c>
      <c r="E10" s="94" t="s">
        <v>146</v>
      </c>
      <c r="F10" s="94" t="s">
        <v>146</v>
      </c>
      <c r="G10" s="94" t="s">
        <v>146</v>
      </c>
      <c r="H10" s="94" t="s">
        <v>146</v>
      </c>
    </row>
    <row r="11" spans="1:8" ht="24" customHeight="1">
      <c r="A11" s="63" t="s">
        <v>136</v>
      </c>
      <c r="B11" s="63" t="s">
        <v>226</v>
      </c>
      <c r="C11" s="63" t="s">
        <v>227</v>
      </c>
      <c r="D11" s="63" t="s">
        <v>147</v>
      </c>
      <c r="E11" s="63" t="s">
        <v>213</v>
      </c>
      <c r="F11" s="63" t="s">
        <v>212</v>
      </c>
      <c r="G11" s="63" t="s">
        <v>148</v>
      </c>
      <c r="H11" s="63" t="s">
        <v>228</v>
      </c>
    </row>
    <row r="12" spans="1:8" ht="15" customHeight="1">
      <c r="A12" s="64" t="s">
        <v>144</v>
      </c>
      <c r="B12" s="89">
        <f>MIN(E6,H6)</f>
        <v>0.5234886970407705</v>
      </c>
      <c r="C12" s="90">
        <f>Inputs!C18</f>
        <v>0.98</v>
      </c>
      <c r="D12" s="75">
        <f>B12*C12*Inputs!$C$35</f>
        <v>51.346473654412897</v>
      </c>
      <c r="E12" s="75">
        <f>D12*Inputs!C19</f>
        <v>47.238755762059867</v>
      </c>
      <c r="F12" s="75">
        <f>E12/Inputs!C20</f>
        <v>49.725006065326177</v>
      </c>
      <c r="G12" s="75">
        <f>B12*C12*Inputs!$C$34</f>
        <v>22.577706296167477</v>
      </c>
      <c r="H12" s="90">
        <f>C12*Inputs!C19</f>
        <v>0.90160000000000007</v>
      </c>
    </row>
    <row r="13" spans="1:8" ht="15" customHeight="1">
      <c r="A13" s="66" t="s">
        <v>145</v>
      </c>
      <c r="B13" s="91">
        <f>MIN(E7,H7)</f>
        <v>0.51459054843056029</v>
      </c>
      <c r="C13" s="92">
        <f>Inputs!D18</f>
        <v>0.98</v>
      </c>
      <c r="D13" s="78">
        <f>B13*C13*Inputs!$C$35</f>
        <v>50.473697306480354</v>
      </c>
      <c r="E13" s="78">
        <f>D13*Inputs!D19</f>
        <v>46.435801521961928</v>
      </c>
      <c r="F13" s="78">
        <f>E13/Inputs!D20</f>
        <v>48.879791075749402</v>
      </c>
      <c r="G13" s="78">
        <f>B13*C13*Inputs!$C$34</f>
        <v>22.193935286331651</v>
      </c>
      <c r="H13" s="92">
        <f>C13*Inputs!D19</f>
        <v>0.90160000000000007</v>
      </c>
    </row>
    <row r="14" spans="1:8" ht="15" customHeight="1">
      <c r="A14" s="60"/>
      <c r="B14" s="60"/>
      <c r="C14" s="60"/>
      <c r="D14" s="60"/>
      <c r="E14" s="60"/>
      <c r="F14" s="60"/>
      <c r="G14" s="60"/>
      <c r="H14" s="60"/>
    </row>
    <row r="15" spans="1:8" ht="15" customHeight="1">
      <c r="A15" s="60"/>
      <c r="B15" s="60"/>
      <c r="C15" s="60"/>
      <c r="D15" s="60"/>
      <c r="E15" s="60"/>
      <c r="F15" s="60"/>
      <c r="G15" s="60"/>
      <c r="H15" s="60"/>
    </row>
    <row r="16" spans="1:8" ht="15" customHeight="1">
      <c r="A16" s="93" t="s">
        <v>230</v>
      </c>
      <c r="B16" s="93" t="s">
        <v>149</v>
      </c>
      <c r="C16" s="93" t="s">
        <v>149</v>
      </c>
      <c r="D16" s="93" t="s">
        <v>149</v>
      </c>
      <c r="E16" s="93" t="s">
        <v>149</v>
      </c>
      <c r="F16" s="93" t="s">
        <v>149</v>
      </c>
      <c r="G16" s="93" t="s">
        <v>149</v>
      </c>
      <c r="H16" s="93" t="s">
        <v>149</v>
      </c>
    </row>
    <row r="17" spans="1:8" ht="31.8" customHeight="1">
      <c r="A17" s="63" t="s">
        <v>136</v>
      </c>
      <c r="B17" s="63" t="s">
        <v>150</v>
      </c>
      <c r="C17" s="63" t="s">
        <v>231</v>
      </c>
      <c r="D17" s="63" t="s">
        <v>151</v>
      </c>
      <c r="E17" s="63" t="s">
        <v>152</v>
      </c>
      <c r="F17" s="63" t="s">
        <v>153</v>
      </c>
      <c r="G17" s="63" t="s">
        <v>154</v>
      </c>
      <c r="H17" s="63" t="s">
        <v>155</v>
      </c>
    </row>
    <row r="18" spans="1:8" ht="15" customHeight="1">
      <c r="A18" s="64" t="s">
        <v>144</v>
      </c>
      <c r="B18" s="89">
        <f>Inputs!C8</f>
        <v>1</v>
      </c>
      <c r="C18" s="89">
        <f>Inputs!C10/1000</f>
        <v>0.57599999999999996</v>
      </c>
      <c r="D18" s="89">
        <f>B18+C18</f>
        <v>1.5760000000000001</v>
      </c>
      <c r="E18" s="89">
        <f>MAX(E6-B12*C12,0)</f>
        <v>1.0469773940815386E-2</v>
      </c>
      <c r="F18" s="89">
        <f>E18*Inputs!$C$33</f>
        <v>0.41960759999999908</v>
      </c>
      <c r="G18" s="89">
        <f>IF(D18=0,0,F18*1000/D18)</f>
        <v>266.24847715735979</v>
      </c>
      <c r="H18" s="89">
        <f>MAX(H6-B12*C12,0)</f>
        <v>6.2981076900044841E-2</v>
      </c>
    </row>
    <row r="19" spans="1:8" ht="15" customHeight="1">
      <c r="A19" s="66" t="s">
        <v>145</v>
      </c>
      <c r="B19" s="91">
        <f>Inputs!D8</f>
        <v>1</v>
      </c>
      <c r="C19" s="91">
        <f>Inputs!D10/1000</f>
        <v>0.57599999999999996</v>
      </c>
      <c r="D19" s="91">
        <f>B19+C19</f>
        <v>1.5760000000000001</v>
      </c>
      <c r="E19" s="91">
        <f>MAX(E7-B13*C13,0)</f>
        <v>1.0291810968611204E-2</v>
      </c>
      <c r="F19" s="91">
        <f>E19*Inputs!$C$33</f>
        <v>0.41247519999999988</v>
      </c>
      <c r="G19" s="91">
        <f>IF(D19=0,0,F19*1000/D19)</f>
        <v>261.72284263959381</v>
      </c>
      <c r="H19" s="91">
        <f>MAX(H7-B13*C13,0)</f>
        <v>7.1701262538050869E-2</v>
      </c>
    </row>
    <row r="20" spans="1:8" ht="15" customHeight="1">
      <c r="A20" s="6"/>
      <c r="B20" s="6"/>
      <c r="C20" s="6"/>
      <c r="D20" s="6"/>
      <c r="E20" s="6"/>
      <c r="F20" s="6"/>
      <c r="G20" s="6"/>
      <c r="H20" s="6"/>
    </row>
    <row r="21" spans="1:8" ht="15" customHeight="1">
      <c r="A21" s="6"/>
      <c r="B21" s="6"/>
      <c r="C21" s="6"/>
      <c r="D21" s="6"/>
      <c r="E21" s="6"/>
      <c r="F21" s="6"/>
      <c r="G21" s="6"/>
      <c r="H21" s="6"/>
    </row>
    <row r="22" spans="1:8" ht="15" customHeight="1"/>
    <row r="28" spans="1:8" ht="15" customHeight="1">
      <c r="A28" s="1"/>
      <c r="B28" s="1"/>
      <c r="C28" s="1"/>
      <c r="D28" s="1"/>
      <c r="E28" s="1"/>
      <c r="F28" s="1"/>
      <c r="G28" s="1"/>
      <c r="H28" s="1"/>
    </row>
  </sheetData>
  <mergeCells count="5">
    <mergeCell ref="A1:H1"/>
    <mergeCell ref="A2:H2"/>
    <mergeCell ref="A4:H4"/>
    <mergeCell ref="A10:H10"/>
    <mergeCell ref="A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showGridLines="0" workbookViewId="0">
      <selection activeCell="I18" sqref="I18"/>
    </sheetView>
  </sheetViews>
  <sheetFormatPr defaultRowHeight="13.8"/>
  <cols>
    <col min="1" max="1" width="22" customWidth="1"/>
    <col min="2" max="7" width="20" customWidth="1"/>
    <col min="8" max="8" width="3" customWidth="1"/>
    <col min="9" max="9" width="16" bestFit="1" customWidth="1"/>
    <col min="10" max="10" width="22.19921875" customWidth="1"/>
  </cols>
  <sheetData>
    <row r="1" spans="1:10" ht="21.6" customHeight="1">
      <c r="A1" s="13" t="s">
        <v>157</v>
      </c>
      <c r="B1" s="13" t="s">
        <v>157</v>
      </c>
      <c r="C1" s="13" t="s">
        <v>157</v>
      </c>
      <c r="D1" s="13" t="s">
        <v>157</v>
      </c>
      <c r="E1" s="13" t="s">
        <v>157</v>
      </c>
      <c r="F1" s="13" t="s">
        <v>157</v>
      </c>
      <c r="G1" s="13" t="s">
        <v>157</v>
      </c>
      <c r="H1" s="13" t="s">
        <v>157</v>
      </c>
      <c r="I1" s="13" t="s">
        <v>157</v>
      </c>
      <c r="J1" s="13" t="s">
        <v>157</v>
      </c>
    </row>
    <row r="2" spans="1:10" ht="15" customHeight="1">
      <c r="A2" s="14" t="s">
        <v>201</v>
      </c>
      <c r="B2" s="14" t="s">
        <v>158</v>
      </c>
      <c r="C2" s="14" t="s">
        <v>158</v>
      </c>
      <c r="D2" s="14" t="s">
        <v>158</v>
      </c>
      <c r="E2" s="14" t="s">
        <v>158</v>
      </c>
      <c r="F2" s="14" t="s">
        <v>158</v>
      </c>
      <c r="G2" s="14" t="s">
        <v>158</v>
      </c>
      <c r="H2" s="14" t="s">
        <v>158</v>
      </c>
      <c r="I2" s="14" t="s">
        <v>158</v>
      </c>
      <c r="J2" s="14" t="s">
        <v>158</v>
      </c>
    </row>
    <row r="3" spans="1:10" ht="1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4" customHeight="1">
      <c r="A4" s="63" t="s">
        <v>142</v>
      </c>
      <c r="B4" s="63" t="s">
        <v>159</v>
      </c>
      <c r="C4" s="63" t="s">
        <v>160</v>
      </c>
      <c r="D4" s="63" t="s">
        <v>161</v>
      </c>
      <c r="E4" s="63" t="s">
        <v>162</v>
      </c>
      <c r="F4" s="63" t="s">
        <v>163</v>
      </c>
      <c r="G4" s="63" t="s">
        <v>164</v>
      </c>
      <c r="H4" s="1"/>
      <c r="I4" s="1"/>
      <c r="J4" s="1"/>
    </row>
    <row r="5" spans="1:10" ht="15" customHeight="1">
      <c r="A5" s="74">
        <v>0</v>
      </c>
      <c r="B5" s="75">
        <f>A5/1000*Inputs!$C$9</f>
        <v>0</v>
      </c>
      <c r="C5" s="75">
        <f>MIN(B5,'Mass Balance'!$E$6)*Inputs!$C$18*Inputs!$C$19*Inputs!$C$35</f>
        <v>0</v>
      </c>
      <c r="D5" s="75">
        <f>MIN(A5/1000*Inputs!$D$9,'Mass Balance'!$E$7)*Inputs!$D$18*Inputs!$D$19*Inputs!$C$35</f>
        <v>0</v>
      </c>
      <c r="E5" s="76">
        <f>IF('Mass Balance'!$E$6=0,0,MIN(B5,'Mass Balance'!$E$6)/'Mass Balance'!$E$6*Inputs!$C$18*Inputs!$C$19)</f>
        <v>0</v>
      </c>
      <c r="F5" s="76">
        <f>IF('Mass Balance'!$E$7=0,0,MIN(A5/1000*Inputs!$D$9,'Mass Balance'!$E$7)/'Mass Balance'!$E$7*Inputs!$D$18*Inputs!$D$19)</f>
        <v>0</v>
      </c>
      <c r="G5" s="75">
        <f>Inputs!$C$8+A5/1000</f>
        <v>1</v>
      </c>
      <c r="H5" s="1"/>
      <c r="I5" s="1"/>
      <c r="J5" s="1"/>
    </row>
    <row r="6" spans="1:10" ht="15" customHeight="1">
      <c r="A6" s="77">
        <v>100</v>
      </c>
      <c r="B6" s="78">
        <f>A6/1000*Inputs!$C$9</f>
        <v>0.1</v>
      </c>
      <c r="C6" s="78">
        <f>MIN(B6,'Mass Balance'!$E$6)*Inputs!$C$18*Inputs!$C$19*Inputs!$C$35</f>
        <v>9.023834904000001</v>
      </c>
      <c r="D6" s="78">
        <f>MIN(A6/1000*Inputs!$D$9,'Mass Balance'!$E$7)*Inputs!$D$18*Inputs!$D$19*Inputs!$C$35</f>
        <v>9.023834904000001</v>
      </c>
      <c r="E6" s="79">
        <f>IF('Mass Balance'!$E$6=0,0,MIN(B6,'Mass Balance'!$E$6)/'Mass Balance'!$E$6*Inputs!$C$18*Inputs!$C$19)</f>
        <v>0.17222912454397873</v>
      </c>
      <c r="F6" s="79">
        <f>IF('Mass Balance'!$E$7=0,0,MIN(A6/1000*Inputs!$D$9,'Mass Balance'!$E$7)/'Mass Balance'!$E$7*Inputs!$D$18*Inputs!$D$19)</f>
        <v>0.17520725997587253</v>
      </c>
      <c r="G6" s="78">
        <f>Inputs!$C$8+A6/1000</f>
        <v>1.1000000000000001</v>
      </c>
      <c r="H6" s="1"/>
      <c r="I6" s="1"/>
      <c r="J6" s="1"/>
    </row>
    <row r="7" spans="1:10" ht="15" customHeight="1">
      <c r="A7" s="77">
        <v>200</v>
      </c>
      <c r="B7" s="78">
        <f>A7/1000*Inputs!$C$9</f>
        <v>0.2</v>
      </c>
      <c r="C7" s="78">
        <f>MIN(B7,'Mass Balance'!$E$6)*Inputs!$C$18*Inputs!$C$19*Inputs!$C$35</f>
        <v>18.047669808000002</v>
      </c>
      <c r="D7" s="78">
        <f>MIN(A7/1000*Inputs!$D$9,'Mass Balance'!$E$7)*Inputs!$D$18*Inputs!$D$19*Inputs!$C$35</f>
        <v>18.047669808000002</v>
      </c>
      <c r="E7" s="79">
        <f>IF('Mass Balance'!$E$6=0,0,MIN(B7,'Mass Balance'!$E$6)/'Mass Balance'!$E$6*Inputs!$C$18*Inputs!$C$19)</f>
        <v>0.34445824908795747</v>
      </c>
      <c r="F7" s="79">
        <f>IF('Mass Balance'!$E$7=0,0,MIN(A7/1000*Inputs!$D$9,'Mass Balance'!$E$7)/'Mass Balance'!$E$7*Inputs!$D$18*Inputs!$D$19)</f>
        <v>0.35041451995174505</v>
      </c>
      <c r="G7" s="78">
        <f>Inputs!$C$8+A7/1000</f>
        <v>1.2</v>
      </c>
      <c r="H7" s="1"/>
      <c r="I7" s="1"/>
      <c r="J7" s="1"/>
    </row>
    <row r="8" spans="1:10" ht="15" customHeight="1">
      <c r="A8" s="77">
        <v>300</v>
      </c>
      <c r="B8" s="78">
        <f>A8/1000*Inputs!$C$9</f>
        <v>0.3</v>
      </c>
      <c r="C8" s="78">
        <f>MIN(B8,'Mass Balance'!$E$6)*Inputs!$C$18*Inputs!$C$19*Inputs!$C$35</f>
        <v>27.071504711999999</v>
      </c>
      <c r="D8" s="78">
        <f>MIN(A8/1000*Inputs!$D$9,'Mass Balance'!$E$7)*Inputs!$D$18*Inputs!$D$19*Inputs!$C$35</f>
        <v>27.071504711999999</v>
      </c>
      <c r="E8" s="79">
        <f>IF('Mass Balance'!$E$6=0,0,MIN(B8,'Mass Balance'!$E$6)/'Mass Balance'!$E$6*Inputs!$C$18*Inputs!$C$19)</f>
        <v>0.51668737363193618</v>
      </c>
      <c r="F8" s="79">
        <f>IF('Mass Balance'!$E$7=0,0,MIN(A8/1000*Inputs!$D$9,'Mass Balance'!$E$7)/'Mass Balance'!$E$7*Inputs!$D$18*Inputs!$D$19)</f>
        <v>0.52562177992761749</v>
      </c>
      <c r="G8" s="78">
        <f>Inputs!$C$8+A8/1000</f>
        <v>1.3</v>
      </c>
      <c r="H8" s="1"/>
      <c r="I8" s="1"/>
      <c r="J8" s="1"/>
    </row>
    <row r="9" spans="1:10" ht="15" customHeight="1">
      <c r="A9" s="77">
        <v>400</v>
      </c>
      <c r="B9" s="78">
        <f>A9/1000*Inputs!$C$9</f>
        <v>0.4</v>
      </c>
      <c r="C9" s="78">
        <f>MIN(B9,'Mass Balance'!$E$6)*Inputs!$C$18*Inputs!$C$19*Inputs!$C$35</f>
        <v>36.095339616000004</v>
      </c>
      <c r="D9" s="78">
        <f>MIN(A9/1000*Inputs!$D$9,'Mass Balance'!$E$7)*Inputs!$D$18*Inputs!$D$19*Inputs!$C$35</f>
        <v>36.095339616000004</v>
      </c>
      <c r="E9" s="79">
        <f>IF('Mass Balance'!$E$6=0,0,MIN(B9,'Mass Balance'!$E$6)/'Mass Balance'!$E$6*Inputs!$C$18*Inputs!$C$19)</f>
        <v>0.68891649817591494</v>
      </c>
      <c r="F9" s="79">
        <f>IF('Mass Balance'!$E$7=0,0,MIN(A9/1000*Inputs!$D$9,'Mass Balance'!$E$7)/'Mass Balance'!$E$7*Inputs!$D$18*Inputs!$D$19)</f>
        <v>0.7008290399034901</v>
      </c>
      <c r="G9" s="78">
        <f>Inputs!$C$8+A9/1000</f>
        <v>1.4</v>
      </c>
      <c r="H9" s="1"/>
      <c r="I9" s="1"/>
      <c r="J9" s="1"/>
    </row>
    <row r="10" spans="1:10" ht="15" customHeight="1">
      <c r="A10" s="77">
        <v>500</v>
      </c>
      <c r="B10" s="78">
        <f>A10/1000*Inputs!$C$9</f>
        <v>0.5</v>
      </c>
      <c r="C10" s="78">
        <f>MIN(B10,'Mass Balance'!$E$6)*Inputs!$C$18*Inputs!$C$19*Inputs!$C$35</f>
        <v>45.119174520000001</v>
      </c>
      <c r="D10" s="78">
        <f>MIN(A10/1000*Inputs!$D$9,'Mass Balance'!$E$7)*Inputs!$D$18*Inputs!$D$19*Inputs!$C$35</f>
        <v>45.119174520000001</v>
      </c>
      <c r="E10" s="79">
        <f>IF('Mass Balance'!$E$6=0,0,MIN(B10,'Mass Balance'!$E$6)/'Mass Balance'!$E$6*Inputs!$C$18*Inputs!$C$19)</f>
        <v>0.86114562271989359</v>
      </c>
      <c r="F10" s="79">
        <f>IF('Mass Balance'!$E$7=0,0,MIN(A10/1000*Inputs!$D$9,'Mass Balance'!$E$7)/'Mass Balance'!$E$7*Inputs!$D$18*Inputs!$D$19)</f>
        <v>0.8760362998793626</v>
      </c>
      <c r="G10" s="78">
        <f>Inputs!$C$8+A10/1000</f>
        <v>1.5</v>
      </c>
      <c r="H10" s="1"/>
      <c r="I10" s="1"/>
      <c r="J10" s="1"/>
    </row>
    <row r="11" spans="1:10" ht="15" customHeight="1">
      <c r="A11" s="77">
        <v>566</v>
      </c>
      <c r="B11" s="78">
        <f>A11/1000*Inputs!$C$9</f>
        <v>0.56599999999999995</v>
      </c>
      <c r="C11" s="78">
        <f>MIN(B11,'Mass Balance'!$E$6)*Inputs!$C$18*Inputs!$C$19*Inputs!$C$35</f>
        <v>47.238755762059867</v>
      </c>
      <c r="D11" s="78">
        <f>MIN(A11/1000*Inputs!$D$9,'Mass Balance'!$E$7)*Inputs!$D$18*Inputs!$D$19*Inputs!$C$35</f>
        <v>46.435801521961928</v>
      </c>
      <c r="E11" s="79">
        <f>IF('Mass Balance'!$E$6=0,0,MIN(B11,'Mass Balance'!$E$6)/'Mass Balance'!$E$6*Inputs!$C$18*Inputs!$C$19)</f>
        <v>0.90160000000000007</v>
      </c>
      <c r="F11" s="79">
        <f>IF('Mass Balance'!$E$7=0,0,MIN(A11/1000*Inputs!$D$9,'Mass Balance'!$E$7)/'Mass Balance'!$E$7*Inputs!$D$18*Inputs!$D$19)</f>
        <v>0.90160000000000007</v>
      </c>
      <c r="G11" s="78">
        <f>Inputs!$C$8+A11/1000</f>
        <v>1.5659999999999998</v>
      </c>
      <c r="H11" s="1"/>
      <c r="I11" s="1"/>
      <c r="J11" s="1"/>
    </row>
    <row r="12" spans="1:10" ht="15" customHeight="1">
      <c r="A12" s="77">
        <v>576</v>
      </c>
      <c r="B12" s="78">
        <f>A12/1000*Inputs!$C$9</f>
        <v>0.57599999999999996</v>
      </c>
      <c r="C12" s="78">
        <f>MIN(B12,'Mass Balance'!$E$6)*Inputs!$C$18*Inputs!$C$19*Inputs!$C$35</f>
        <v>47.238755762059867</v>
      </c>
      <c r="D12" s="78">
        <f>MIN(A12/1000*Inputs!$D$9,'Mass Balance'!$E$7)*Inputs!$D$18*Inputs!$D$19*Inputs!$C$35</f>
        <v>46.435801521961928</v>
      </c>
      <c r="E12" s="79">
        <f>IF('Mass Balance'!$E$6=0,0,MIN(B12,'Mass Balance'!$E$6)/'Mass Balance'!$E$6*Inputs!$C$18*Inputs!$C$19)</f>
        <v>0.90160000000000007</v>
      </c>
      <c r="F12" s="79">
        <f>IF('Mass Balance'!$E$7=0,0,MIN(A12/1000*Inputs!$D$9,'Mass Balance'!$E$7)/'Mass Balance'!$E$7*Inputs!$D$18*Inputs!$D$19)</f>
        <v>0.90160000000000007</v>
      </c>
      <c r="G12" s="78">
        <f>Inputs!$C$8+A12/1000</f>
        <v>1.5760000000000001</v>
      </c>
      <c r="H12" s="1"/>
      <c r="I12" s="1"/>
      <c r="J12" s="1"/>
    </row>
    <row r="13" spans="1:10" ht="15" customHeight="1">
      <c r="A13" s="77">
        <v>600</v>
      </c>
      <c r="B13" s="78">
        <f>A13/1000*Inputs!$C$9</f>
        <v>0.6</v>
      </c>
      <c r="C13" s="78">
        <f>MIN(B13,'Mass Balance'!$E$6)*Inputs!$C$18*Inputs!$C$19*Inputs!$C$35</f>
        <v>47.238755762059867</v>
      </c>
      <c r="D13" s="78">
        <f>MIN(A13/1000*Inputs!$D$9,'Mass Balance'!$E$7)*Inputs!$D$18*Inputs!$D$19*Inputs!$C$35</f>
        <v>46.435801521961928</v>
      </c>
      <c r="E13" s="79">
        <f>IF('Mass Balance'!$E$6=0,0,MIN(B13,'Mass Balance'!$E$6)/'Mass Balance'!$E$6*Inputs!$C$18*Inputs!$C$19)</f>
        <v>0.90160000000000007</v>
      </c>
      <c r="F13" s="79">
        <f>IF('Mass Balance'!$E$7=0,0,MIN(A13/1000*Inputs!$D$9,'Mass Balance'!$E$7)/'Mass Balance'!$E$7*Inputs!$D$18*Inputs!$D$19)</f>
        <v>0.90160000000000007</v>
      </c>
      <c r="G13" s="78">
        <f>Inputs!$C$8+A13/1000</f>
        <v>1.6</v>
      </c>
      <c r="H13" s="1"/>
      <c r="I13" s="1"/>
      <c r="J13" s="1"/>
    </row>
    <row r="14" spans="1:10" ht="15" customHeight="1">
      <c r="A14" s="60"/>
      <c r="B14" s="60"/>
      <c r="C14" s="60"/>
      <c r="D14" s="60"/>
      <c r="E14" s="60"/>
      <c r="F14" s="60"/>
      <c r="G14" s="60"/>
      <c r="H14" s="1"/>
      <c r="I14" s="1"/>
      <c r="J14" s="1"/>
    </row>
    <row r="15" spans="1:10" ht="15" customHeight="1">
      <c r="A15" s="80" t="s">
        <v>225</v>
      </c>
      <c r="B15" s="81" t="s">
        <v>165</v>
      </c>
      <c r="C15" s="81" t="s">
        <v>165</v>
      </c>
      <c r="D15" s="81" t="s">
        <v>165</v>
      </c>
      <c r="E15" s="81" t="s">
        <v>165</v>
      </c>
      <c r="F15" s="81" t="s">
        <v>165</v>
      </c>
      <c r="G15" s="82" t="s">
        <v>165</v>
      </c>
      <c r="H15" s="1"/>
      <c r="I15" s="1"/>
      <c r="J15" s="1"/>
    </row>
    <row r="16" spans="1:10" ht="15" customHeight="1">
      <c r="A16" s="83" t="s">
        <v>165</v>
      </c>
      <c r="B16" s="84" t="s">
        <v>165</v>
      </c>
      <c r="C16" s="84" t="s">
        <v>165</v>
      </c>
      <c r="D16" s="84" t="s">
        <v>165</v>
      </c>
      <c r="E16" s="84" t="s">
        <v>165</v>
      </c>
      <c r="F16" s="84" t="s">
        <v>165</v>
      </c>
      <c r="G16" s="85" t="s">
        <v>165</v>
      </c>
      <c r="H16" s="1"/>
      <c r="I16" s="1"/>
      <c r="J16" s="1"/>
    </row>
    <row r="17" spans="1:11" ht="15" customHeight="1">
      <c r="A17" s="86" t="s">
        <v>165</v>
      </c>
      <c r="B17" s="87" t="s">
        <v>165</v>
      </c>
      <c r="C17" s="87" t="s">
        <v>165</v>
      </c>
      <c r="D17" s="87" t="s">
        <v>165</v>
      </c>
      <c r="E17" s="87" t="s">
        <v>165</v>
      </c>
      <c r="F17" s="87" t="s">
        <v>165</v>
      </c>
      <c r="G17" s="88" t="s">
        <v>165</v>
      </c>
      <c r="H17" s="1"/>
      <c r="I17" s="1"/>
      <c r="J17" s="1"/>
    </row>
    <row r="18" spans="1:11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1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1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1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1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t="15" customHeight="1">
      <c r="A32" s="1"/>
      <c r="B32" s="1"/>
      <c r="C32" s="1"/>
      <c r="D32" s="1"/>
      <c r="E32" s="1"/>
      <c r="F32" s="1"/>
      <c r="G32" s="1"/>
      <c r="H32" s="1"/>
      <c r="I32" s="72" t="s">
        <v>142</v>
      </c>
      <c r="J32" s="72" t="s">
        <v>160</v>
      </c>
      <c r="K32" s="73"/>
    </row>
    <row r="33" spans="1:11" ht="15" customHeight="1">
      <c r="A33" s="1"/>
      <c r="B33" s="1"/>
      <c r="C33" s="1"/>
      <c r="D33" s="1"/>
      <c r="E33" s="1"/>
      <c r="F33" s="1"/>
      <c r="G33" s="1"/>
      <c r="H33" s="1"/>
      <c r="I33" s="72">
        <f t="shared" ref="I33:I41" si="0">A5</f>
        <v>0</v>
      </c>
      <c r="J33" s="72">
        <f t="shared" ref="J33:J41" si="1">C5</f>
        <v>0</v>
      </c>
      <c r="K33" s="73"/>
    </row>
    <row r="34" spans="1:11" ht="15" customHeight="1">
      <c r="A34" s="1"/>
      <c r="B34" s="1"/>
      <c r="C34" s="1"/>
      <c r="D34" s="1"/>
      <c r="E34" s="1"/>
      <c r="F34" s="1"/>
      <c r="G34" s="1"/>
      <c r="H34" s="1"/>
      <c r="I34" s="72">
        <f t="shared" si="0"/>
        <v>100</v>
      </c>
      <c r="J34" s="72">
        <f t="shared" si="1"/>
        <v>9.023834904000001</v>
      </c>
      <c r="K34" s="73"/>
    </row>
    <row r="35" spans="1:11" ht="15" customHeight="1">
      <c r="A35" s="1"/>
      <c r="B35" s="1"/>
      <c r="C35" s="1"/>
      <c r="D35" s="1"/>
      <c r="E35" s="1"/>
      <c r="F35" s="1"/>
      <c r="G35" s="1"/>
      <c r="H35" s="1"/>
      <c r="I35" s="72">
        <f t="shared" si="0"/>
        <v>200</v>
      </c>
      <c r="J35" s="72">
        <f t="shared" si="1"/>
        <v>18.047669808000002</v>
      </c>
      <c r="K35" s="73"/>
    </row>
    <row r="36" spans="1:11" ht="15" customHeight="1">
      <c r="A36" s="1"/>
      <c r="B36" s="1"/>
      <c r="C36" s="1"/>
      <c r="D36" s="1"/>
      <c r="E36" s="1"/>
      <c r="F36" s="1"/>
      <c r="G36" s="1"/>
      <c r="H36" s="1"/>
      <c r="I36" s="72">
        <f t="shared" si="0"/>
        <v>300</v>
      </c>
      <c r="J36" s="72">
        <f t="shared" si="1"/>
        <v>27.071504711999999</v>
      </c>
      <c r="K36" s="73"/>
    </row>
    <row r="37" spans="1:11" ht="15" customHeight="1">
      <c r="A37" s="1"/>
      <c r="B37" s="1"/>
      <c r="C37" s="1"/>
      <c r="D37" s="1"/>
      <c r="E37" s="1"/>
      <c r="F37" s="1"/>
      <c r="G37" s="1"/>
      <c r="H37" s="1"/>
      <c r="I37" s="72">
        <f t="shared" si="0"/>
        <v>400</v>
      </c>
      <c r="J37" s="72">
        <f t="shared" si="1"/>
        <v>36.095339616000004</v>
      </c>
      <c r="K37" s="73"/>
    </row>
    <row r="38" spans="1:11" ht="15" customHeight="1">
      <c r="A38" s="1"/>
      <c r="B38" s="1"/>
      <c r="C38" s="1"/>
      <c r="D38" s="1"/>
      <c r="E38" s="1"/>
      <c r="F38" s="1"/>
      <c r="G38" s="1"/>
      <c r="H38" s="1"/>
      <c r="I38" s="72">
        <f t="shared" si="0"/>
        <v>500</v>
      </c>
      <c r="J38" s="72">
        <f t="shared" si="1"/>
        <v>45.119174520000001</v>
      </c>
      <c r="K38" s="73"/>
    </row>
    <row r="39" spans="1:11" ht="15" customHeight="1">
      <c r="A39" s="1"/>
      <c r="B39" s="1"/>
      <c r="C39" s="1"/>
      <c r="D39" s="1"/>
      <c r="E39" s="1"/>
      <c r="F39" s="1"/>
      <c r="G39" s="1"/>
      <c r="H39" s="1"/>
      <c r="I39" s="72">
        <f t="shared" si="0"/>
        <v>566</v>
      </c>
      <c r="J39" s="72">
        <f t="shared" si="1"/>
        <v>47.238755762059867</v>
      </c>
      <c r="K39" s="73"/>
    </row>
    <row r="40" spans="1:11" ht="15" customHeight="1">
      <c r="A40" s="1"/>
      <c r="B40" s="1"/>
      <c r="C40" s="1"/>
      <c r="D40" s="1"/>
      <c r="E40" s="1"/>
      <c r="F40" s="1"/>
      <c r="G40" s="1"/>
      <c r="H40" s="1"/>
      <c r="I40" s="72">
        <f t="shared" si="0"/>
        <v>576</v>
      </c>
      <c r="J40" s="72">
        <f t="shared" si="1"/>
        <v>47.238755762059867</v>
      </c>
      <c r="K40" s="73"/>
    </row>
    <row r="41" spans="1:11" ht="15" customHeight="1">
      <c r="A41" s="1"/>
      <c r="B41" s="1"/>
      <c r="C41" s="1"/>
      <c r="D41" s="1"/>
      <c r="E41" s="1"/>
      <c r="F41" s="1"/>
      <c r="G41" s="1"/>
      <c r="H41" s="1"/>
      <c r="I41" s="72">
        <f t="shared" si="0"/>
        <v>600</v>
      </c>
      <c r="J41" s="72">
        <f t="shared" si="1"/>
        <v>47.238755762059867</v>
      </c>
      <c r="K41" s="73"/>
    </row>
    <row r="42" spans="1:11" ht="15" customHeight="1">
      <c r="A42" s="1"/>
      <c r="B42" s="1"/>
      <c r="C42" s="1"/>
      <c r="D42" s="1"/>
      <c r="E42" s="1"/>
      <c r="F42" s="1"/>
      <c r="G42" s="1"/>
      <c r="H42" s="1"/>
      <c r="I42" s="72"/>
      <c r="J42" s="72"/>
      <c r="K42" s="73"/>
    </row>
  </sheetData>
  <mergeCells count="3">
    <mergeCell ref="A1:J1"/>
    <mergeCell ref="A2:J2"/>
    <mergeCell ref="A15:G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workbookViewId="0">
      <selection activeCell="E18" sqref="E18"/>
    </sheetView>
  </sheetViews>
  <sheetFormatPr defaultRowHeight="13.8"/>
  <cols>
    <col min="1" max="1" width="32" customWidth="1"/>
    <col min="2" max="3" width="17" customWidth="1"/>
    <col min="4" max="4" width="19" customWidth="1"/>
    <col min="5" max="5" width="35.59765625" customWidth="1"/>
    <col min="6" max="6" width="15" customWidth="1"/>
    <col min="7" max="7" width="38" customWidth="1"/>
    <col min="8" max="8" width="12" customWidth="1"/>
  </cols>
  <sheetData>
    <row r="1" spans="1:8" ht="21.6" customHeight="1">
      <c r="A1" s="13" t="s">
        <v>216</v>
      </c>
      <c r="B1" s="13" t="s">
        <v>166</v>
      </c>
      <c r="C1" s="13" t="s">
        <v>166</v>
      </c>
      <c r="D1" s="13" t="s">
        <v>166</v>
      </c>
      <c r="E1" s="13" t="s">
        <v>166</v>
      </c>
      <c r="F1" s="13" t="s">
        <v>166</v>
      </c>
      <c r="G1" s="13" t="s">
        <v>166</v>
      </c>
      <c r="H1" s="13" t="s">
        <v>166</v>
      </c>
    </row>
    <row r="2" spans="1:8" ht="15" customHeight="1">
      <c r="A2" s="14" t="s">
        <v>217</v>
      </c>
      <c r="B2" s="14" t="s">
        <v>167</v>
      </c>
      <c r="C2" s="14" t="s">
        <v>167</v>
      </c>
      <c r="D2" s="14" t="s">
        <v>167</v>
      </c>
      <c r="E2" s="14" t="s">
        <v>167</v>
      </c>
      <c r="F2" s="14" t="s">
        <v>167</v>
      </c>
      <c r="G2" s="14" t="s">
        <v>167</v>
      </c>
      <c r="H2" s="14" t="s">
        <v>167</v>
      </c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3" t="s">
        <v>168</v>
      </c>
      <c r="B4" s="3" t="s">
        <v>48</v>
      </c>
      <c r="C4" s="3" t="s">
        <v>49</v>
      </c>
      <c r="D4" s="3" t="s">
        <v>50</v>
      </c>
      <c r="E4" s="3" t="s">
        <v>169</v>
      </c>
      <c r="F4" s="3" t="s">
        <v>51</v>
      </c>
      <c r="G4" s="3" t="s">
        <v>156</v>
      </c>
      <c r="H4" s="3" t="s">
        <v>170</v>
      </c>
    </row>
    <row r="5" spans="1:8" ht="15" customHeight="1">
      <c r="A5" s="4" t="s">
        <v>171</v>
      </c>
      <c r="B5" s="9">
        <f>Inputs!C6*1000</f>
        <v>620.9</v>
      </c>
      <c r="C5" s="9">
        <f>Inputs!D6*1000</f>
        <v>620.9</v>
      </c>
      <c r="D5" s="4" t="s">
        <v>172</v>
      </c>
      <c r="E5" s="4" t="s">
        <v>173</v>
      </c>
      <c r="F5" s="4" t="s">
        <v>174</v>
      </c>
      <c r="G5" s="4" t="s">
        <v>175</v>
      </c>
      <c r="H5" s="4" t="s">
        <v>176</v>
      </c>
    </row>
    <row r="6" spans="1:8" ht="15" customHeight="1">
      <c r="A6" s="5" t="s">
        <v>177</v>
      </c>
      <c r="B6" s="10">
        <f>B5*Inputs!C5</f>
        <v>579.2376099999999</v>
      </c>
      <c r="C6" s="10">
        <f>C5*Inputs!D5</f>
        <v>582.52837999999997</v>
      </c>
      <c r="D6" s="5" t="s">
        <v>172</v>
      </c>
      <c r="E6" s="5" t="s">
        <v>178</v>
      </c>
      <c r="F6" s="5" t="s">
        <v>174</v>
      </c>
      <c r="G6" s="5" t="s">
        <v>179</v>
      </c>
      <c r="H6" s="5" t="s">
        <v>176</v>
      </c>
    </row>
    <row r="7" spans="1:8" ht="15" customHeight="1">
      <c r="A7" s="5" t="s">
        <v>180</v>
      </c>
      <c r="B7" s="10">
        <f>B6*('Mass Balance'!B12/'Mass Balance'!E6)*'Mass Balance'!C12</f>
        <v>567.65285779999988</v>
      </c>
      <c r="C7" s="10">
        <f>C6*('Mass Balance'!B13/'Mass Balance'!E7)*'Mass Balance'!C13</f>
        <v>570.87781239999993</v>
      </c>
      <c r="D7" s="5" t="s">
        <v>172</v>
      </c>
      <c r="E7" s="5" t="s">
        <v>181</v>
      </c>
      <c r="F7" s="5" t="s">
        <v>174</v>
      </c>
      <c r="G7" s="5" t="s">
        <v>182</v>
      </c>
      <c r="H7" s="5" t="s">
        <v>176</v>
      </c>
    </row>
    <row r="8" spans="1:8" ht="15" customHeight="1">
      <c r="A8" s="6"/>
      <c r="B8" s="12"/>
      <c r="C8" s="12"/>
      <c r="D8" s="6"/>
      <c r="E8" s="6"/>
      <c r="F8" s="6"/>
      <c r="G8" s="6"/>
      <c r="H8" s="6"/>
    </row>
    <row r="9" spans="1:8" ht="15" customHeight="1">
      <c r="A9" s="6"/>
      <c r="B9" s="12"/>
      <c r="C9" s="12"/>
      <c r="D9" s="6"/>
      <c r="E9" s="6"/>
      <c r="F9" s="6"/>
      <c r="G9" s="6"/>
      <c r="H9" s="6"/>
    </row>
    <row r="10" spans="1:8" ht="15" customHeight="1">
      <c r="A10" s="34" t="s">
        <v>218</v>
      </c>
      <c r="B10" s="35" t="s">
        <v>183</v>
      </c>
      <c r="C10" s="35" t="s">
        <v>183</v>
      </c>
      <c r="D10" s="34" t="s">
        <v>183</v>
      </c>
      <c r="E10" s="34" t="s">
        <v>183</v>
      </c>
      <c r="F10" s="34" t="s">
        <v>183</v>
      </c>
      <c r="G10" s="34" t="s">
        <v>183</v>
      </c>
      <c r="H10" s="34" t="s">
        <v>183</v>
      </c>
    </row>
    <row r="11" spans="1:8" ht="15" customHeight="1">
      <c r="A11" s="3" t="s">
        <v>168</v>
      </c>
      <c r="B11" s="11" t="s">
        <v>48</v>
      </c>
      <c r="C11" s="11" t="s">
        <v>49</v>
      </c>
      <c r="D11" s="3" t="s">
        <v>50</v>
      </c>
      <c r="E11" s="3" t="s">
        <v>222</v>
      </c>
      <c r="F11" s="3" t="s">
        <v>51</v>
      </c>
      <c r="G11" s="3" t="s">
        <v>156</v>
      </c>
      <c r="H11" s="3" t="s">
        <v>170</v>
      </c>
    </row>
    <row r="12" spans="1:8" ht="27.6" customHeight="1">
      <c r="A12" s="4" t="s">
        <v>184</v>
      </c>
      <c r="B12" s="9">
        <f>B7*Inputs!$C$35/Inputs!$C$33</f>
        <v>1417.6010482894058</v>
      </c>
      <c r="C12" s="9">
        <f>C7*Inputs!$C$35/Inputs!$C$33</f>
        <v>1425.654736311631</v>
      </c>
      <c r="D12" s="4" t="s">
        <v>185</v>
      </c>
      <c r="E12" s="4" t="s">
        <v>223</v>
      </c>
      <c r="F12" s="5" t="s">
        <v>174</v>
      </c>
      <c r="G12" s="4" t="s">
        <v>186</v>
      </c>
      <c r="H12" s="4" t="s">
        <v>176</v>
      </c>
    </row>
    <row r="13" spans="1:8" ht="15" customHeight="1">
      <c r="A13" s="5" t="s">
        <v>219</v>
      </c>
      <c r="B13" s="10">
        <f>B12*Inputs!C19</f>
        <v>1304.1929644262534</v>
      </c>
      <c r="C13" s="10">
        <f>C12*Inputs!D19</f>
        <v>1311.6023574067005</v>
      </c>
      <c r="D13" s="5" t="s">
        <v>185</v>
      </c>
      <c r="E13" s="5" t="s">
        <v>187</v>
      </c>
      <c r="F13" s="5" t="s">
        <v>174</v>
      </c>
      <c r="G13" s="5" t="s">
        <v>188</v>
      </c>
      <c r="H13" s="5" t="s">
        <v>176</v>
      </c>
    </row>
    <row r="14" spans="1:8" ht="25.8" customHeight="1">
      <c r="A14" s="5" t="s">
        <v>220</v>
      </c>
      <c r="B14" s="10">
        <f>B7*Inputs!$C$34/Inputs!$C$33</f>
        <v>623.33745310018207</v>
      </c>
      <c r="C14" s="10">
        <f>C7*Inputs!$C$34/Inputs!$C$33</f>
        <v>626.87876353155832</v>
      </c>
      <c r="D14" s="5" t="s">
        <v>189</v>
      </c>
      <c r="E14" s="5" t="s">
        <v>223</v>
      </c>
      <c r="F14" s="5" t="s">
        <v>174</v>
      </c>
      <c r="G14" s="5" t="s">
        <v>190</v>
      </c>
      <c r="H14" s="5" t="s">
        <v>176</v>
      </c>
    </row>
    <row r="15" spans="1:8" ht="15" customHeight="1">
      <c r="A15" s="5" t="s">
        <v>221</v>
      </c>
      <c r="B15" s="10">
        <f>B5*Inputs!$C$34/Inputs!$C$33</f>
        <v>681.80793827037269</v>
      </c>
      <c r="C15" s="10">
        <f>C5*Inputs!$C$34/Inputs!$C$33</f>
        <v>681.80793827037269</v>
      </c>
      <c r="D15" s="5" t="s">
        <v>189</v>
      </c>
      <c r="E15" s="5" t="s">
        <v>224</v>
      </c>
      <c r="F15" s="5" t="s">
        <v>174</v>
      </c>
      <c r="G15" s="5" t="s">
        <v>191</v>
      </c>
      <c r="H15" s="5" t="s">
        <v>176</v>
      </c>
    </row>
    <row r="16" spans="1:8" ht="15" customHeight="1">
      <c r="A16" s="6"/>
      <c r="B16" s="6"/>
      <c r="C16" s="6"/>
      <c r="D16" s="6"/>
      <c r="E16" s="6"/>
      <c r="F16" s="6"/>
      <c r="G16" s="6"/>
      <c r="H16" s="6"/>
    </row>
    <row r="17" spans="1:8" ht="15" customHeight="1">
      <c r="A17" s="6"/>
      <c r="B17" s="6"/>
      <c r="C17" s="6"/>
      <c r="D17" s="6"/>
      <c r="E17" s="6"/>
      <c r="F17" s="6"/>
      <c r="G17" s="6"/>
      <c r="H17" s="6"/>
    </row>
    <row r="18" spans="1:8" ht="15" customHeight="1"/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</sheetData>
  <mergeCells count="3">
    <mergeCell ref="A1:H1"/>
    <mergeCell ref="A2:H2"/>
    <mergeCell ref="A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0"/>
  <sheetViews>
    <sheetView showGridLines="0" tabSelected="1" zoomScaleNormal="100" workbookViewId="0">
      <selection activeCell="A5" sqref="A5:D7"/>
    </sheetView>
  </sheetViews>
  <sheetFormatPr defaultRowHeight="13.8"/>
  <cols>
    <col min="1" max="1" width="18" customWidth="1"/>
    <col min="2" max="2" width="14.296875" customWidth="1"/>
    <col min="3" max="3" width="21" customWidth="1"/>
    <col min="4" max="4" width="10.5" customWidth="1"/>
    <col min="5" max="14" width="13" customWidth="1"/>
  </cols>
  <sheetData>
    <row r="1" spans="1:14" ht="21.6" customHeight="1">
      <c r="A1" s="13" t="s">
        <v>192</v>
      </c>
      <c r="B1" s="13" t="s">
        <v>192</v>
      </c>
      <c r="C1" s="13" t="s">
        <v>192</v>
      </c>
      <c r="D1" s="13" t="s">
        <v>192</v>
      </c>
      <c r="E1" s="13" t="s">
        <v>192</v>
      </c>
      <c r="F1" s="13" t="s">
        <v>192</v>
      </c>
      <c r="G1" s="13" t="s">
        <v>192</v>
      </c>
      <c r="H1" s="13" t="s">
        <v>192</v>
      </c>
      <c r="I1" s="13" t="s">
        <v>192</v>
      </c>
      <c r="J1" s="13" t="s">
        <v>192</v>
      </c>
      <c r="K1" s="13" t="s">
        <v>192</v>
      </c>
      <c r="L1" s="13" t="s">
        <v>192</v>
      </c>
      <c r="M1" s="13" t="s">
        <v>192</v>
      </c>
      <c r="N1" s="13" t="s">
        <v>192</v>
      </c>
    </row>
    <row r="2" spans="1:14" ht="15" customHeight="1">
      <c r="A2" s="14" t="s">
        <v>202</v>
      </c>
      <c r="B2" s="14" t="s">
        <v>193</v>
      </c>
      <c r="C2" s="14" t="s">
        <v>193</v>
      </c>
      <c r="D2" s="14" t="s">
        <v>193</v>
      </c>
      <c r="E2" s="14" t="s">
        <v>193</v>
      </c>
      <c r="F2" s="14" t="s">
        <v>193</v>
      </c>
      <c r="G2" s="14" t="s">
        <v>193</v>
      </c>
      <c r="H2" s="14" t="s">
        <v>193</v>
      </c>
      <c r="I2" s="14" t="s">
        <v>193</v>
      </c>
      <c r="J2" s="14" t="s">
        <v>193</v>
      </c>
      <c r="K2" s="14" t="s">
        <v>193</v>
      </c>
      <c r="L2" s="14" t="s">
        <v>193</v>
      </c>
      <c r="M2" s="14" t="s">
        <v>193</v>
      </c>
      <c r="N2" s="14" t="s">
        <v>193</v>
      </c>
    </row>
    <row r="3" spans="1:1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>
      <c r="A4" s="71" t="s">
        <v>206</v>
      </c>
      <c r="B4" s="71" t="s">
        <v>194</v>
      </c>
      <c r="C4" s="71" t="s">
        <v>194</v>
      </c>
      <c r="D4" s="71" t="s">
        <v>194</v>
      </c>
      <c r="E4" s="71" t="s">
        <v>207</v>
      </c>
      <c r="F4" s="71" t="s">
        <v>195</v>
      </c>
      <c r="G4" s="71" t="s">
        <v>195</v>
      </c>
      <c r="H4" s="71" t="s">
        <v>195</v>
      </c>
      <c r="I4" s="71" t="s">
        <v>208</v>
      </c>
      <c r="J4" s="71" t="s">
        <v>196</v>
      </c>
      <c r="K4" s="71" t="s">
        <v>196</v>
      </c>
      <c r="L4" s="71" t="s">
        <v>196</v>
      </c>
      <c r="M4" s="1"/>
      <c r="N4" s="1"/>
    </row>
    <row r="5" spans="1:14" ht="15" customHeight="1">
      <c r="A5" s="36">
        <f>'Mass Balance'!F12</f>
        <v>49.725006065326177</v>
      </c>
      <c r="B5" s="37"/>
      <c r="C5" s="37"/>
      <c r="D5" s="37"/>
      <c r="E5" s="37">
        <f>'Mass Balance'!F13</f>
        <v>48.879791075749402</v>
      </c>
      <c r="F5" s="37"/>
      <c r="G5" s="37"/>
      <c r="H5" s="37"/>
      <c r="I5" s="42">
        <f>'Mass Balance'!H12</f>
        <v>0.90160000000000007</v>
      </c>
      <c r="J5" s="42"/>
      <c r="K5" s="42"/>
      <c r="L5" s="43"/>
      <c r="M5" s="1"/>
      <c r="N5" s="1"/>
    </row>
    <row r="6" spans="1:14" ht="15" customHeight="1">
      <c r="A6" s="38"/>
      <c r="B6" s="39"/>
      <c r="C6" s="39"/>
      <c r="D6" s="39"/>
      <c r="E6" s="39"/>
      <c r="F6" s="39"/>
      <c r="G6" s="39"/>
      <c r="H6" s="39"/>
      <c r="I6" s="44"/>
      <c r="J6" s="44"/>
      <c r="K6" s="44"/>
      <c r="L6" s="45"/>
      <c r="M6" s="1"/>
      <c r="N6" s="1"/>
    </row>
    <row r="7" spans="1:14" ht="15" customHeight="1">
      <c r="A7" s="40"/>
      <c r="B7" s="41"/>
      <c r="C7" s="41"/>
      <c r="D7" s="41"/>
      <c r="E7" s="41"/>
      <c r="F7" s="41"/>
      <c r="G7" s="41"/>
      <c r="H7" s="41"/>
      <c r="I7" s="46"/>
      <c r="J7" s="46"/>
      <c r="K7" s="46"/>
      <c r="L7" s="47"/>
      <c r="M7" s="1"/>
      <c r="N7" s="1"/>
    </row>
    <row r="8" spans="1:14" ht="15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1"/>
      <c r="N8" s="1"/>
    </row>
    <row r="9" spans="1:14" ht="15" customHeight="1">
      <c r="A9" s="71" t="s">
        <v>209</v>
      </c>
      <c r="B9" s="71" t="s">
        <v>197</v>
      </c>
      <c r="C9" s="71" t="s">
        <v>197</v>
      </c>
      <c r="D9" s="71" t="s">
        <v>197</v>
      </c>
      <c r="E9" s="71" t="s">
        <v>210</v>
      </c>
      <c r="F9" s="71" t="s">
        <v>198</v>
      </c>
      <c r="G9" s="71" t="s">
        <v>198</v>
      </c>
      <c r="H9" s="71" t="s">
        <v>198</v>
      </c>
      <c r="I9" s="71" t="s">
        <v>211</v>
      </c>
      <c r="J9" s="71" t="s">
        <v>199</v>
      </c>
      <c r="K9" s="71" t="s">
        <v>199</v>
      </c>
      <c r="L9" s="71" t="s">
        <v>199</v>
      </c>
      <c r="M9" s="1"/>
      <c r="N9" s="1"/>
    </row>
    <row r="10" spans="1:14" ht="15" customHeight="1">
      <c r="A10" s="48">
        <f>'Mass Balance'!G12</f>
        <v>22.577706296167477</v>
      </c>
      <c r="B10" s="49"/>
      <c r="C10" s="49"/>
      <c r="D10" s="49"/>
      <c r="E10" s="49">
        <f>'Mass Balance'!G13</f>
        <v>22.193935286331651</v>
      </c>
      <c r="F10" s="49"/>
      <c r="G10" s="49"/>
      <c r="H10" s="49"/>
      <c r="I10" s="54">
        <f>'Mass Balance'!D18</f>
        <v>1.5760000000000001</v>
      </c>
      <c r="J10" s="54"/>
      <c r="K10" s="54"/>
      <c r="L10" s="55"/>
      <c r="M10" s="1"/>
      <c r="N10" s="1"/>
    </row>
    <row r="11" spans="1:14" ht="15" customHeight="1">
      <c r="A11" s="50"/>
      <c r="B11" s="51"/>
      <c r="C11" s="51"/>
      <c r="D11" s="51"/>
      <c r="E11" s="51"/>
      <c r="F11" s="51"/>
      <c r="G11" s="51"/>
      <c r="H11" s="51"/>
      <c r="I11" s="56"/>
      <c r="J11" s="56"/>
      <c r="K11" s="56"/>
      <c r="L11" s="57"/>
      <c r="M11" s="1"/>
      <c r="N11" s="1"/>
    </row>
    <row r="12" spans="1:14" ht="15" customHeight="1">
      <c r="A12" s="52"/>
      <c r="B12" s="53"/>
      <c r="C12" s="53"/>
      <c r="D12" s="53"/>
      <c r="E12" s="53"/>
      <c r="F12" s="53"/>
      <c r="G12" s="53"/>
      <c r="H12" s="53"/>
      <c r="I12" s="58"/>
      <c r="J12" s="58"/>
      <c r="K12" s="58"/>
      <c r="L12" s="59"/>
      <c r="M12" s="1"/>
      <c r="N12" s="1"/>
    </row>
    <row r="13" spans="1:1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96" customHeight="1">
      <c r="A15" s="63" t="s">
        <v>136</v>
      </c>
      <c r="B15" s="63" t="s">
        <v>214</v>
      </c>
      <c r="C15" s="63" t="s">
        <v>213</v>
      </c>
      <c r="D15" s="63" t="s">
        <v>212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24" customHeight="1">
      <c r="A16" s="64" t="s">
        <v>144</v>
      </c>
      <c r="B16" s="65">
        <f>'Mass Balance'!D12</f>
        <v>51.346473654412897</v>
      </c>
      <c r="C16" s="65">
        <f>'Mass Balance'!E12</f>
        <v>47.238755762059867</v>
      </c>
      <c r="D16" s="65">
        <f>'Mass Balance'!F12</f>
        <v>49.725006065326177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4" customHeight="1">
      <c r="A17" s="66" t="s">
        <v>145</v>
      </c>
      <c r="B17" s="67">
        <f>'Mass Balance'!D13</f>
        <v>50.473697306480354</v>
      </c>
      <c r="C17" s="67">
        <f>'Mass Balance'!E13</f>
        <v>46.435801521961928</v>
      </c>
      <c r="D17" s="67">
        <f>'Mass Balance'!F13</f>
        <v>48.879791075749402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" customHeight="1">
      <c r="A18" s="61" t="s">
        <v>215</v>
      </c>
      <c r="B18" s="61"/>
      <c r="C18" s="6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34.799999999999997" customHeight="1">
      <c r="A19" s="62"/>
      <c r="B19" s="62"/>
      <c r="C19" s="6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" customHeight="1">
      <c r="A20" s="68" t="s">
        <v>204</v>
      </c>
      <c r="B20" s="68" t="s">
        <v>200</v>
      </c>
      <c r="C20" s="68" t="s">
        <v>200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48.6" customHeight="1">
      <c r="A21" s="63" t="s">
        <v>136</v>
      </c>
      <c r="B21" s="63" t="s">
        <v>203</v>
      </c>
      <c r="C21" s="63" t="s">
        <v>205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5" customHeight="1">
      <c r="A22" s="64" t="s">
        <v>144</v>
      </c>
      <c r="B22" s="69">
        <f>'Scale-up'!B14</f>
        <v>623.33745310018207</v>
      </c>
      <c r="C22" s="69">
        <f>'Scale-up'!B13</f>
        <v>1304.1929644262534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" customHeight="1">
      <c r="A23" s="66" t="s">
        <v>145</v>
      </c>
      <c r="B23" s="70">
        <f>'Scale-up'!C14</f>
        <v>626.87876353155832</v>
      </c>
      <c r="C23" s="70">
        <f>'Scale-up'!C13</f>
        <v>1311.6023574067005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" customHeight="1"/>
    <row r="33" spans="1:14" ht="15" customHeight="1"/>
    <row r="34" spans="1:14" ht="15" customHeight="1"/>
    <row r="35" spans="1:14" ht="15" customHeight="1"/>
    <row r="40" spans="1:1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16">
    <mergeCell ref="A18:C19"/>
    <mergeCell ref="A10:D12"/>
    <mergeCell ref="E10:H12"/>
    <mergeCell ref="I10:L12"/>
    <mergeCell ref="A20:C20"/>
    <mergeCell ref="A5:D7"/>
    <mergeCell ref="E5:H7"/>
    <mergeCell ref="I5:L7"/>
    <mergeCell ref="A9:D9"/>
    <mergeCell ref="E9:H9"/>
    <mergeCell ref="I9:L9"/>
    <mergeCell ref="A1:N1"/>
    <mergeCell ref="A2:N2"/>
    <mergeCell ref="A4:D4"/>
    <mergeCell ref="E4:H4"/>
    <mergeCell ref="I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Guide</vt:lpstr>
      <vt:lpstr>Inputs</vt:lpstr>
      <vt:lpstr>Mass Balance</vt:lpstr>
      <vt:lpstr>Sensitivity</vt:lpstr>
      <vt:lpstr>Scale-up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2026-08-14T13:41:11Z</dcterms:modified>
</cp:coreProperties>
</file>