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ardis\Downloads\"/>
    </mc:Choice>
  </mc:AlternateContent>
  <xr:revisionPtr revIDLastSave="0" documentId="13_ncr:1_{04B93944-4A75-4381-8304-47A7645E8B5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D5" i="2"/>
  <c r="C5" i="2"/>
  <c r="B5" i="2"/>
  <c r="E4" i="2"/>
  <c r="D4" i="2"/>
  <c r="C4" i="2"/>
  <c r="B4" i="2"/>
  <c r="E9" i="1"/>
  <c r="C9" i="1"/>
</calcChain>
</file>

<file path=xl/sharedStrings.xml><?xml version="1.0" encoding="utf-8"?>
<sst xmlns="http://schemas.openxmlformats.org/spreadsheetml/2006/main" count="26" uniqueCount="21">
  <si>
    <t>Phase I Supernatant Composition</t>
  </si>
  <si>
    <t>ICP-OES composition after calcium leaching of cement kiln dust</t>
  </si>
  <si>
    <t>Component</t>
  </si>
  <si>
    <t>HCl concentration (mg/L)</t>
  </si>
  <si>
    <t>HCl distribution (%)</t>
  </si>
  <si>
    <t>HNO₃ concentration (mg/L)</t>
  </si>
  <si>
    <t>HNO₃ distribution (%)</t>
  </si>
  <si>
    <t>Ca</t>
  </si>
  <si>
    <t>K</t>
  </si>
  <si>
    <t>Na</t>
  </si>
  <si>
    <t>Impurities*</t>
  </si>
  <si>
    <t>Distribution total</t>
  </si>
  <si>
    <t>* Impurities: Zn, Fe, Ti, Pb, Cu, Mg, Al, Sn, Cr, Si, and S.</t>
  </si>
  <si>
    <t>Distribution (%) is the compositional share within the analyzed fraction; it is not calcium leaching recovery.</t>
  </si>
  <si>
    <t>Totals may differ from 100.00% by 0.01 percentage point because the reported values were rounded.</t>
  </si>
  <si>
    <t>Extraction agent</t>
  </si>
  <si>
    <t>Hydrochloric acid</t>
  </si>
  <si>
    <t>Nitric acid</t>
  </si>
  <si>
    <t>Values in the chart are normalized from the reported component distributions so that each bar totals 100%.</t>
  </si>
  <si>
    <t>Key interpretation</t>
  </si>
  <si>
    <t>Calcium represented more than 93% of the dissolved components for both extraction agents.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</si>
</sst>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sz val="10"/>
      <color rgb="FF1F2933"/>
      <name val="Aptos"/>
      <family val="2"/>
    </font>
    <font>
      <b/>
      <sz val="10"/>
      <color rgb="FFFFFFFF"/>
      <name val="Aptos"/>
      <family val="2"/>
    </font>
    <font>
      <i/>
      <sz val="9"/>
      <color rgb="FF52616B"/>
      <name val="Aptos"/>
      <family val="2"/>
    </font>
    <font>
      <i/>
      <sz val="9"/>
      <color rgb="FF17324D"/>
      <name val="Aptos"/>
      <family val="2"/>
    </font>
    <font>
      <sz val="11"/>
      <color rgb="FF1F2933"/>
      <name val="Carlito"/>
    </font>
    <font>
      <i/>
      <sz val="10"/>
      <color rgb="FF17324D"/>
      <name val="Times New Roman"/>
      <family val="1"/>
    </font>
    <font>
      <sz val="10"/>
      <color rgb="FF1F2933"/>
      <name val="Times New Roman"/>
      <family val="1"/>
    </font>
    <font>
      <b/>
      <sz val="10"/>
      <color rgb="FF1F2933"/>
      <name val="Times New Roman"/>
      <family val="1"/>
    </font>
    <font>
      <b/>
      <sz val="10"/>
      <color rgb="FF17324D"/>
      <name val="Times New Roman"/>
      <family val="1"/>
    </font>
    <font>
      <b/>
      <sz val="16"/>
      <color theme="6" tint="0.79998168889431442"/>
      <name val="Times New Roman"/>
      <family val="1"/>
    </font>
    <font>
      <b/>
      <sz val="10"/>
      <color theme="6" tint="0.79998168889431442"/>
      <name val="Times New Roman"/>
      <family val="1"/>
    </font>
    <font>
      <sz val="10"/>
      <color theme="6" tint="0.79998168889431442"/>
      <name val="Times New Roman"/>
      <family val="1"/>
    </font>
    <font>
      <sz val="11"/>
      <color theme="6" tint="0.7999816888943144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1F7"/>
      </patternFill>
    </fill>
    <fill>
      <patternFill patternType="solid">
        <fgColor rgb="FFF3F5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NumberFormat="1" applyFont="1" applyFill="1" applyBorder="1"/>
    <xf numFmtId="0" fontId="3" fillId="0" borderId="0" xfId="0" applyNumberFormat="1" applyFont="1" applyFill="1" applyBorder="1" applyAlignment="1">
      <alignment wrapText="1"/>
    </xf>
    <xf numFmtId="0" fontId="4" fillId="3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/>
    <xf numFmtId="0" fontId="5" fillId="4" borderId="0" xfId="0" applyNumberFormat="1" applyFont="1" applyFill="1" applyBorder="1" applyAlignment="1">
      <alignment vertical="center" wrapText="1"/>
    </xf>
    <xf numFmtId="2" fontId="1" fillId="0" borderId="0" xfId="0" applyNumberFormat="1" applyFont="1" applyFill="1" applyBorder="1" applyAlignment="1">
      <alignment horizontal="center"/>
    </xf>
    <xf numFmtId="10" fontId="1" fillId="0" borderId="0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10" fontId="1" fillId="0" borderId="1" xfId="0" applyNumberFormat="1" applyFont="1" applyFill="1" applyBorder="1" applyAlignment="1">
      <alignment horizontal="center"/>
    </xf>
    <xf numFmtId="0" fontId="1" fillId="4" borderId="0" xfId="0" applyNumberFormat="1" applyFont="1" applyFill="1" applyBorder="1" applyAlignment="1">
      <alignment horizontal="center"/>
    </xf>
    <xf numFmtId="10" fontId="1" fillId="4" borderId="0" xfId="0" applyNumberFormat="1" applyFont="1" applyFill="1" applyBorder="1" applyAlignment="1">
      <alignment horizontal="center"/>
    </xf>
    <xf numFmtId="0" fontId="6" fillId="3" borderId="0" xfId="0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horizontal="center"/>
    </xf>
    <xf numFmtId="0" fontId="8" fillId="0" borderId="1" xfId="0" applyNumberFormat="1" applyFont="1" applyFill="1" applyBorder="1" applyAlignment="1">
      <alignment horizontal="center"/>
    </xf>
    <xf numFmtId="0" fontId="9" fillId="4" borderId="0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10" fillId="2" borderId="0" xfId="0" applyNumberFormat="1" applyFont="1" applyFill="1" applyBorder="1" applyAlignment="1">
      <alignment vertical="center"/>
    </xf>
    <xf numFmtId="0" fontId="11" fillId="2" borderId="0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Border="1"/>
    <xf numFmtId="0" fontId="13" fillId="0" borderId="0" xfId="0" applyFont="1"/>
    <xf numFmtId="0" fontId="11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Phase I Supernatant Composition (100% stacked)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Ca</c:v>
          </c:tx>
          <c:spPr>
            <a:solidFill>
              <a:srgbClr val="4C78A8"/>
            </a:solidFill>
          </c:spPr>
          <c:invertIfNegative val="1"/>
          <c:cat>
            <c:strLit>
              <c:ptCount val="2"/>
              <c:pt idx="0">
                <c:v>HCl</c:v>
              </c:pt>
              <c:pt idx="1">
                <c:v>HNO₃</c:v>
              </c:pt>
            </c:strLit>
          </c:cat>
          <c:val>
            <c:numLit>
              <c:formatCode>General</c:formatCode>
              <c:ptCount val="2"/>
              <c:pt idx="0">
                <c:v>93.289999999999992</c:v>
              </c:pt>
              <c:pt idx="1">
                <c:v>93.820000000000007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C4DE-466D-8BD4-0073D6E2EDC2}"/>
            </c:ext>
          </c:extLst>
        </c:ser>
        <c:ser>
          <c:idx val="1"/>
          <c:order val="1"/>
          <c:tx>
            <c:v>K</c:v>
          </c:tx>
          <c:spPr>
            <a:solidFill>
              <a:srgbClr val="5AA9A6"/>
            </a:solidFill>
          </c:spPr>
          <c:invertIfNegative val="1"/>
          <c:cat>
            <c:strLit>
              <c:ptCount val="2"/>
              <c:pt idx="0">
                <c:v>HCl</c:v>
              </c:pt>
              <c:pt idx="1">
                <c:v>HNO₃</c:v>
              </c:pt>
            </c:strLit>
          </c:cat>
          <c:val>
            <c:numLit>
              <c:formatCode>General</c:formatCode>
              <c:ptCount val="2"/>
              <c:pt idx="0">
                <c:v>1.38</c:v>
              </c:pt>
              <c:pt idx="1">
                <c:v>1.34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C4DE-466D-8BD4-0073D6E2EDC2}"/>
            </c:ext>
          </c:extLst>
        </c:ser>
        <c:ser>
          <c:idx val="2"/>
          <c:order val="2"/>
          <c:tx>
            <c:v>Na</c:v>
          </c:tx>
          <c:spPr>
            <a:solidFill>
              <a:srgbClr val="E5A84B"/>
            </a:solidFill>
          </c:spPr>
          <c:invertIfNegative val="1"/>
          <c:cat>
            <c:strLit>
              <c:ptCount val="2"/>
              <c:pt idx="0">
                <c:v>HCl</c:v>
              </c:pt>
              <c:pt idx="1">
                <c:v>HNO₃</c:v>
              </c:pt>
            </c:strLit>
          </c:cat>
          <c:val>
            <c:numLit>
              <c:formatCode>General</c:formatCode>
              <c:ptCount val="2"/>
              <c:pt idx="0">
                <c:v>0.22</c:v>
              </c:pt>
              <c:pt idx="1">
                <c:v>0.19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C4DE-466D-8BD4-0073D6E2EDC2}"/>
            </c:ext>
          </c:extLst>
        </c:ser>
        <c:ser>
          <c:idx val="3"/>
          <c:order val="3"/>
          <c:tx>
            <c:v>Impurities</c:v>
          </c:tx>
          <c:spPr>
            <a:solidFill>
              <a:srgbClr val="D96C5F"/>
            </a:solidFill>
          </c:spPr>
          <c:invertIfNegative val="1"/>
          <c:cat>
            <c:strLit>
              <c:ptCount val="2"/>
              <c:pt idx="0">
                <c:v>HCl</c:v>
              </c:pt>
              <c:pt idx="1">
                <c:v>HNO₃</c:v>
              </c:pt>
            </c:strLit>
          </c:cat>
          <c:val>
            <c:numLit>
              <c:formatCode>General</c:formatCode>
              <c:ptCount val="2"/>
              <c:pt idx="0">
                <c:v>5.1100000000000003</c:v>
              </c:pt>
              <c:pt idx="1">
                <c:v>4.6399999999999997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3-C4DE-466D-8BD4-0073D6E2E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7810500" cy="371475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workbookViewId="0">
      <selection activeCell="C18" sqref="C18"/>
    </sheetView>
  </sheetViews>
  <sheetFormatPr defaultRowHeight="13.8"/>
  <cols>
    <col min="1" max="1" width="18" customWidth="1"/>
    <col min="2" max="5" width="22" customWidth="1"/>
  </cols>
  <sheetData>
    <row r="1" spans="1:11" ht="24" customHeight="1">
      <c r="A1" s="20" t="s">
        <v>0</v>
      </c>
      <c r="B1" s="20"/>
      <c r="C1" s="20"/>
      <c r="D1" s="20"/>
      <c r="E1" s="20"/>
      <c r="F1" s="1"/>
      <c r="G1" s="1"/>
      <c r="H1" s="1"/>
      <c r="I1" s="1"/>
      <c r="J1" s="1"/>
      <c r="K1" s="1"/>
    </row>
    <row r="2" spans="1:11" ht="19.2" customHeight="1">
      <c r="A2" s="12" t="s">
        <v>1</v>
      </c>
      <c r="B2" s="12"/>
      <c r="C2" s="12"/>
      <c r="D2" s="12"/>
      <c r="E2" s="12"/>
      <c r="F2" s="1"/>
      <c r="G2" s="1"/>
      <c r="H2" s="1"/>
      <c r="I2" s="1"/>
      <c r="J2" s="1"/>
      <c r="K2" s="1"/>
    </row>
    <row r="3" spans="1:11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23" customFormat="1" ht="28.8" customHeight="1">
      <c r="A4" s="21" t="s">
        <v>2</v>
      </c>
      <c r="B4" s="21" t="s">
        <v>3</v>
      </c>
      <c r="C4" s="21" t="s">
        <v>4</v>
      </c>
      <c r="D4" s="21" t="s">
        <v>5</v>
      </c>
      <c r="E4" s="21" t="s">
        <v>6</v>
      </c>
      <c r="F4" s="22"/>
      <c r="G4" s="22"/>
      <c r="H4" s="22"/>
      <c r="I4" s="22"/>
      <c r="J4" s="22"/>
      <c r="K4" s="22"/>
    </row>
    <row r="5" spans="1:11" ht="14.4">
      <c r="A5" s="13" t="s">
        <v>7</v>
      </c>
      <c r="B5" s="6">
        <v>20658.61</v>
      </c>
      <c r="C5" s="7">
        <v>0.93289999999999995</v>
      </c>
      <c r="D5" s="6">
        <v>20072.080000000002</v>
      </c>
      <c r="E5" s="7">
        <v>0.93820000000000003</v>
      </c>
      <c r="F5" s="1"/>
      <c r="G5" s="1"/>
      <c r="H5" s="1"/>
      <c r="I5" s="1"/>
      <c r="J5" s="1"/>
      <c r="K5" s="1"/>
    </row>
    <row r="6" spans="1:11" ht="14.4">
      <c r="A6" s="13" t="s">
        <v>8</v>
      </c>
      <c r="B6" s="6">
        <v>305.95</v>
      </c>
      <c r="C6" s="7">
        <v>1.38E-2</v>
      </c>
      <c r="D6" s="6">
        <v>287.36</v>
      </c>
      <c r="E6" s="7">
        <v>1.34E-2</v>
      </c>
      <c r="F6" s="1"/>
      <c r="G6" s="1"/>
      <c r="H6" s="1"/>
      <c r="I6" s="1"/>
      <c r="J6" s="1"/>
      <c r="K6" s="1"/>
    </row>
    <row r="7" spans="1:11" ht="14.4">
      <c r="A7" s="13" t="s">
        <v>9</v>
      </c>
      <c r="B7" s="6">
        <v>48.43</v>
      </c>
      <c r="C7" s="7">
        <v>2.2000000000000001E-3</v>
      </c>
      <c r="D7" s="6">
        <v>40.61</v>
      </c>
      <c r="E7" s="7">
        <v>1.9E-3</v>
      </c>
      <c r="F7" s="1"/>
      <c r="G7" s="1"/>
      <c r="H7" s="1"/>
      <c r="I7" s="1"/>
      <c r="J7" s="1"/>
      <c r="K7" s="1"/>
    </row>
    <row r="8" spans="1:11" ht="14.4">
      <c r="A8" s="14" t="s">
        <v>10</v>
      </c>
      <c r="B8" s="8">
        <v>1131.5899999999999</v>
      </c>
      <c r="C8" s="9">
        <v>5.11E-2</v>
      </c>
      <c r="D8" s="8">
        <v>993.75</v>
      </c>
      <c r="E8" s="9">
        <v>4.6399999999999997E-2</v>
      </c>
      <c r="F8" s="1"/>
      <c r="G8" s="1"/>
      <c r="H8" s="1"/>
      <c r="I8" s="1"/>
      <c r="J8" s="1"/>
      <c r="K8" s="1"/>
    </row>
    <row r="9" spans="1:11" ht="14.4">
      <c r="A9" s="15" t="s">
        <v>11</v>
      </c>
      <c r="B9" s="10"/>
      <c r="C9" s="11">
        <f>SUM(C5:C8)</f>
        <v>1</v>
      </c>
      <c r="D9" s="10"/>
      <c r="E9" s="11">
        <f>SUM(E5:E8)</f>
        <v>0.99990000000000001</v>
      </c>
      <c r="F9" s="1"/>
      <c r="G9" s="1"/>
      <c r="H9" s="1"/>
      <c r="I9" s="1"/>
      <c r="J9" s="1"/>
      <c r="K9" s="1"/>
    </row>
    <row r="10" spans="1:11" ht="14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7.55" customHeight="1">
      <c r="A11" s="2" t="s">
        <v>12</v>
      </c>
      <c r="B11" s="2"/>
      <c r="C11" s="2"/>
      <c r="D11" s="2"/>
      <c r="E11" s="2"/>
      <c r="F11" s="1"/>
      <c r="G11" s="1"/>
      <c r="H11" s="1"/>
      <c r="I11" s="1"/>
      <c r="J11" s="1"/>
      <c r="K11" s="1"/>
    </row>
    <row r="12" spans="1:11" ht="17.55" customHeight="1">
      <c r="A12" s="2" t="s">
        <v>13</v>
      </c>
      <c r="B12" s="2"/>
      <c r="C12" s="2"/>
      <c r="D12" s="2"/>
      <c r="E12" s="2"/>
      <c r="F12" s="1"/>
      <c r="G12" s="1"/>
      <c r="H12" s="1"/>
      <c r="I12" s="1"/>
      <c r="J12" s="1"/>
      <c r="K12" s="1"/>
    </row>
    <row r="13" spans="1:11" ht="17.55" customHeight="1">
      <c r="A13" s="2" t="s">
        <v>14</v>
      </c>
      <c r="B13" s="2"/>
      <c r="C13" s="2"/>
      <c r="D13" s="2"/>
      <c r="E13" s="2"/>
      <c r="F13" s="1"/>
      <c r="G13" s="1"/>
      <c r="H13" s="1"/>
      <c r="I13" s="1"/>
      <c r="J13" s="1"/>
      <c r="K13" s="1"/>
    </row>
    <row r="14" spans="1:11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mergeCells count="5">
    <mergeCell ref="A1:E1"/>
    <mergeCell ref="A2:E2"/>
    <mergeCell ref="A11:E11"/>
    <mergeCell ref="A12:E12"/>
    <mergeCell ref="A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tabSelected="1" workbookViewId="0">
      <selection activeCell="H13" sqref="H13"/>
    </sheetView>
  </sheetViews>
  <sheetFormatPr defaultRowHeight="13.8"/>
  <cols>
    <col min="1" max="1" width="22" customWidth="1"/>
    <col min="2" max="8" width="14" customWidth="1"/>
  </cols>
  <sheetData>
    <row r="1" spans="1:11" ht="24" customHeight="1">
      <c r="A1" s="20" t="s">
        <v>0</v>
      </c>
      <c r="B1" s="20"/>
      <c r="C1" s="20"/>
      <c r="D1" s="20"/>
      <c r="E1" s="20"/>
      <c r="F1" s="20"/>
      <c r="G1" s="20"/>
      <c r="H1" s="20"/>
      <c r="I1" s="1"/>
      <c r="J1" s="1"/>
      <c r="K1" s="1"/>
    </row>
    <row r="2" spans="1:11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s="23" customFormat="1">
      <c r="A3" s="24" t="s">
        <v>15</v>
      </c>
      <c r="B3" s="24" t="s">
        <v>7</v>
      </c>
      <c r="C3" s="24" t="s">
        <v>8</v>
      </c>
      <c r="D3" s="24" t="s">
        <v>9</v>
      </c>
      <c r="E3" s="24" t="s">
        <v>10</v>
      </c>
      <c r="F3" s="22"/>
      <c r="G3" s="22"/>
      <c r="H3" s="22"/>
      <c r="I3" s="22"/>
      <c r="J3" s="22"/>
      <c r="K3" s="22"/>
    </row>
    <row r="4" spans="1:11" ht="14.4">
      <c r="A4" s="18" t="s">
        <v>16</v>
      </c>
      <c r="B4" s="16">
        <f>Data!C5/SUM(Data!$C$5:'Data'!$C$8)*100</f>
        <v>93.289999999999992</v>
      </c>
      <c r="C4" s="16">
        <f>Data!C6/SUM(Data!$C$5:'Data'!$C$8)*100</f>
        <v>1.38</v>
      </c>
      <c r="D4" s="16">
        <f>Data!C7/SUM(Data!$C$5:'Data'!$C$8)*100</f>
        <v>0.22</v>
      </c>
      <c r="E4" s="16">
        <f>Data!C8/SUM(Data!$C$5:'Data'!$C$8)*100</f>
        <v>5.1100000000000003</v>
      </c>
      <c r="F4" s="1"/>
      <c r="G4" s="1"/>
      <c r="H4" s="1"/>
      <c r="I4" s="1"/>
      <c r="J4" s="1"/>
      <c r="K4" s="1"/>
    </row>
    <row r="5" spans="1:11" ht="14.4">
      <c r="A5" s="19" t="s">
        <v>17</v>
      </c>
      <c r="B5" s="17">
        <f>Data!E5/SUM(Data!$E$5:'Data'!$E$8)*100</f>
        <v>93.829382938293833</v>
      </c>
      <c r="C5" s="17">
        <f>Data!E6/SUM(Data!$E$5:'Data'!$E$8)*100</f>
        <v>1.3401340134013402</v>
      </c>
      <c r="D5" s="17">
        <f>Data!E7/SUM(Data!$E$5:'Data'!$E$8)*100</f>
        <v>0.19001900190019003</v>
      </c>
      <c r="E5" s="17">
        <f>Data!E8/SUM(Data!$E$5:'Data'!$E$8)*100</f>
        <v>4.6404640464046398</v>
      </c>
      <c r="F5" s="1"/>
      <c r="G5" s="1"/>
      <c r="H5" s="1"/>
      <c r="I5" s="1"/>
      <c r="J5" s="1"/>
      <c r="K5" s="1"/>
    </row>
    <row r="6" spans="1:11" ht="14.4">
      <c r="A6" s="3" t="s">
        <v>18</v>
      </c>
      <c r="B6" s="3"/>
      <c r="C6" s="3"/>
      <c r="D6" s="3"/>
      <c r="E6" s="3"/>
      <c r="F6" s="3"/>
      <c r="G6" s="3"/>
      <c r="H6" s="3"/>
      <c r="I6" s="1"/>
      <c r="J6" s="1"/>
      <c r="K6" s="1"/>
    </row>
    <row r="7" spans="1:11" ht="14.4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4.4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4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4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4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4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4.4">
      <c r="A30" s="4" t="s">
        <v>19</v>
      </c>
      <c r="B30" s="4"/>
      <c r="C30" s="4"/>
      <c r="D30" s="4"/>
      <c r="E30" s="4"/>
      <c r="F30" s="4"/>
      <c r="G30" s="4"/>
      <c r="H30" s="4"/>
      <c r="I30" s="1"/>
      <c r="J30" s="1"/>
      <c r="K30" s="1"/>
    </row>
    <row r="31" spans="1:11">
      <c r="A31" s="5" t="s">
        <v>20</v>
      </c>
      <c r="B31" s="5"/>
      <c r="C31" s="5"/>
      <c r="D31" s="5"/>
      <c r="E31" s="5"/>
      <c r="F31" s="5"/>
      <c r="G31" s="5"/>
      <c r="H31" s="5"/>
    </row>
    <row r="32" spans="1:11">
      <c r="A32" s="5"/>
      <c r="B32" s="5"/>
      <c r="C32" s="5"/>
      <c r="D32" s="5"/>
      <c r="E32" s="5"/>
      <c r="F32" s="5"/>
      <c r="G32" s="5"/>
      <c r="H32" s="5"/>
    </row>
  </sheetData>
  <mergeCells count="4">
    <mergeCell ref="A1:H1"/>
    <mergeCell ref="A6:H6"/>
    <mergeCell ref="A30:H30"/>
    <mergeCell ref="A31:H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Pardis</cp:lastModifiedBy>
  <dcterms:modified xsi:type="dcterms:W3CDTF">2026-08-13T23:15:41Z</dcterms:modified>
</cp:coreProperties>
</file>