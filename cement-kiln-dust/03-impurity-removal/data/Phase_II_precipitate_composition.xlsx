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1FAF4EFE-5A22-4684-96C0-309CBB523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A5" i="2"/>
  <c r="E4" i="2"/>
  <c r="D4" i="2"/>
  <c r="C4" i="2"/>
  <c r="B4" i="2"/>
  <c r="A4" i="2"/>
  <c r="D15" i="1"/>
  <c r="D14" i="1"/>
</calcChain>
</file>

<file path=xl/sharedStrings.xml><?xml version="1.0" encoding="utf-8"?>
<sst xmlns="http://schemas.openxmlformats.org/spreadsheetml/2006/main" count="32" uniqueCount="16">
  <si>
    <t>Phase II Precipitate Composition</t>
  </si>
  <si>
    <t>ICP-OES composition of impurity-rich solids recovered after pH-swing purification</t>
  </si>
  <si>
    <t>Extraction agent</t>
  </si>
  <si>
    <t>Component</t>
  </si>
  <si>
    <t>Concentration (mg/kg)</t>
  </si>
  <si>
    <t>Distribution (%)</t>
  </si>
  <si>
    <t>HCl</t>
  </si>
  <si>
    <t>Ca</t>
  </si>
  <si>
    <t>K</t>
  </si>
  <si>
    <t>Na</t>
  </si>
  <si>
    <t>Impurities*</t>
  </si>
  <si>
    <t>HNO₃</t>
  </si>
  <si>
    <t>Distribution total</t>
  </si>
  <si>
    <t>HNO₃ distribution total</t>
  </si>
  <si>
    <t>* Impurities: Zn, Fe, Ti, Pb, Cu, Mg, Al, Sn, Cr, Si, and S.</t>
  </si>
  <si>
    <t>Grouped impurities accounted for 81.34% of the HCl-derived precipitate and 80.05% of the HNO₃-derived precipitate. Calcium accounted for 13.70% and 13.00%,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</si>
</sst>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24313B"/>
      <name val="Aptos"/>
      <family val="2"/>
    </font>
    <font>
      <b/>
      <sz val="11"/>
      <color rgb="FF17324D"/>
      <name val="Carlito"/>
    </font>
    <font>
      <i/>
      <sz val="9"/>
      <color rgb="FF536471"/>
      <name val="Aptos"/>
      <family val="2"/>
    </font>
    <font>
      <sz val="11"/>
      <name val="Times New Roman"/>
      <family val="1"/>
    </font>
    <font>
      <b/>
      <sz val="16"/>
      <color theme="6" tint="0.79998168889431442"/>
      <name val="Times New Roman"/>
      <family val="1"/>
    </font>
    <font>
      <sz val="11"/>
      <color theme="6" tint="0.79998168889431442"/>
      <name val="Times New Roman"/>
      <family val="1"/>
    </font>
    <font>
      <b/>
      <sz val="10"/>
      <color theme="6" tint="0.79998168889431442"/>
      <name val="Times New Roman"/>
      <family val="1"/>
    </font>
    <font>
      <i/>
      <sz val="10"/>
      <color theme="3"/>
      <name val="Times New Roman"/>
      <family val="1"/>
    </font>
    <font>
      <sz val="11"/>
      <color theme="3"/>
      <name val="Times New Roman"/>
      <family val="1"/>
    </font>
    <font>
      <sz val="10"/>
      <color rgb="FF24313B"/>
      <name val="Times New Roman"/>
      <family val="1"/>
    </font>
    <font>
      <b/>
      <sz val="11"/>
      <color rgb="FF17324D"/>
      <name val="Times New Roman"/>
      <family val="1"/>
    </font>
    <font>
      <sz val="11"/>
      <color rgb="FF17324D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F3F5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DDE4"/>
      </bottom>
      <diagonal/>
    </border>
    <border>
      <left/>
      <right/>
      <top style="thin">
        <color rgb="FFD6DDE4"/>
      </top>
      <bottom style="thin">
        <color rgb="FFD6DDE4"/>
      </bottom>
      <diagonal/>
    </border>
    <border>
      <left/>
      <right/>
      <top style="thin">
        <color rgb="FFD6DDE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vertical="center"/>
    </xf>
    <xf numFmtId="0" fontId="6" fillId="0" borderId="0" xfId="0" applyFont="1"/>
    <xf numFmtId="0" fontId="8" fillId="3" borderId="0" xfId="0" applyNumberFormat="1" applyFont="1" applyFill="1" applyBorder="1" applyAlignment="1">
      <alignment vertical="center"/>
    </xf>
    <xf numFmtId="0" fontId="9" fillId="0" borderId="0" xfId="0" applyFont="1"/>
    <xf numFmtId="0" fontId="7" fillId="2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4" fontId="1" fillId="0" borderId="2" xfId="0" applyNumberFormat="1" applyFont="1" applyFill="1" applyBorder="1" applyAlignment="1">
      <alignment horizontal="center"/>
    </xf>
    <xf numFmtId="1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horizontal="center"/>
    </xf>
    <xf numFmtId="10" fontId="1" fillId="0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10" fontId="2" fillId="4" borderId="0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0" fontId="10" fillId="0" borderId="2" xfId="0" applyNumberFormat="1" applyFont="1" applyFill="1" applyBorder="1" applyAlignment="1">
      <alignment horizontal="center"/>
    </xf>
    <xf numFmtId="0" fontId="10" fillId="0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1" fillId="4" borderId="0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0" fontId="1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Phase II precipitate composition (%)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Ca</c:v>
          </c:tx>
          <c:spPr>
            <a:solidFill>
              <a:srgbClr val="4C78A8"/>
            </a:solidFill>
          </c:spPr>
          <c:invertIfNegative val="1"/>
          <c:cat>
            <c:strRef>
              <c:f>Results!$A$4:$A$5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Results!$B$4:$B$5</c:f>
              <c:numCache>
                <c:formatCode>0.00</c:formatCode>
                <c:ptCount val="2"/>
                <c:pt idx="0">
                  <c:v>13.702740548109624</c:v>
                </c:pt>
                <c:pt idx="1">
                  <c:v>13.002600520104021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901-48EA-8BBA-5EF89798AFD2}"/>
            </c:ext>
          </c:extLst>
        </c:ser>
        <c:ser>
          <c:idx val="1"/>
          <c:order val="1"/>
          <c:tx>
            <c:v>K</c:v>
          </c:tx>
          <c:spPr>
            <a:solidFill>
              <a:srgbClr val="59A5A2"/>
            </a:solidFill>
          </c:spPr>
          <c:invertIfNegative val="1"/>
          <c:cat>
            <c:strRef>
              <c:f>Results!$A$4:$A$5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Results!$C$4:$C$5</c:f>
              <c:numCache>
                <c:formatCode>0.00</c:formatCode>
                <c:ptCount val="2"/>
                <c:pt idx="0">
                  <c:v>0.77015403080616129</c:v>
                </c:pt>
                <c:pt idx="1">
                  <c:v>1.4602920584116823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901-48EA-8BBA-5EF89798AFD2}"/>
            </c:ext>
          </c:extLst>
        </c:ser>
        <c:ser>
          <c:idx val="2"/>
          <c:order val="2"/>
          <c:tx>
            <c:v>Na</c:v>
          </c:tx>
          <c:spPr>
            <a:solidFill>
              <a:srgbClr val="E3A546"/>
            </a:solidFill>
          </c:spPr>
          <c:invertIfNegative val="1"/>
          <c:cat>
            <c:strRef>
              <c:f>Results!$A$4:$A$5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Results!$D$4:$D$5</c:f>
              <c:numCache>
                <c:formatCode>0.00</c:formatCode>
                <c:ptCount val="2"/>
                <c:pt idx="0">
                  <c:v>4.1708341668333668</c:v>
                </c:pt>
                <c:pt idx="1">
                  <c:v>5.4710942188437688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B901-48EA-8BBA-5EF89798AFD2}"/>
            </c:ext>
          </c:extLst>
        </c:ser>
        <c:ser>
          <c:idx val="3"/>
          <c:order val="3"/>
          <c:tx>
            <c:v>Impurities*</c:v>
          </c:tx>
          <c:spPr>
            <a:solidFill>
              <a:srgbClr val="D96B5F"/>
            </a:solidFill>
          </c:spPr>
          <c:invertIfNegative val="1"/>
          <c:cat>
            <c:strRef>
              <c:f>Results!$A$4:$A$5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Results!$E$4:$E$5</c:f>
              <c:numCache>
                <c:formatCode>0.00</c:formatCode>
                <c:ptCount val="2"/>
                <c:pt idx="0">
                  <c:v>81.356271254250842</c:v>
                </c:pt>
                <c:pt idx="1">
                  <c:v>80.066013202640534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B901-48EA-8BBA-5EF89798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Composition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  <c:majorUnit val="20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workbookViewId="0">
      <selection activeCell="A17" sqref="A17:D17"/>
    </sheetView>
  </sheetViews>
  <sheetFormatPr defaultRowHeight="13.8"/>
  <cols>
    <col min="1" max="1" width="23" customWidth="1"/>
    <col min="2" max="2" width="18" customWidth="1"/>
    <col min="3" max="4" width="23" customWidth="1"/>
  </cols>
  <sheetData>
    <row r="1" spans="1:4" s="3" customFormat="1" ht="30" customHeight="1">
      <c r="A1" s="2" t="s">
        <v>0</v>
      </c>
      <c r="B1" s="2"/>
      <c r="C1" s="2"/>
      <c r="D1" s="2"/>
    </row>
    <row r="2" spans="1:4" s="5" customFormat="1" ht="24" customHeight="1">
      <c r="A2" s="4" t="s">
        <v>1</v>
      </c>
      <c r="B2" s="4"/>
      <c r="C2" s="4"/>
      <c r="D2" s="4"/>
    </row>
    <row r="3" spans="1:4" s="3" customFormat="1"/>
    <row r="4" spans="1:4" s="3" customFormat="1" ht="34.049999999999997" customHeight="1">
      <c r="A4" s="6" t="s">
        <v>2</v>
      </c>
      <c r="B4" s="6" t="s">
        <v>3</v>
      </c>
      <c r="C4" s="6" t="s">
        <v>4</v>
      </c>
      <c r="D4" s="6" t="s">
        <v>5</v>
      </c>
    </row>
    <row r="5" spans="1:4" ht="14.4">
      <c r="A5" s="19" t="s">
        <v>6</v>
      </c>
      <c r="B5" s="7" t="s">
        <v>7</v>
      </c>
      <c r="C5" s="8">
        <v>27143.73</v>
      </c>
      <c r="D5" s="9">
        <v>0.13700000000000001</v>
      </c>
    </row>
    <row r="6" spans="1:4" ht="14.4">
      <c r="A6" s="20" t="s">
        <v>6</v>
      </c>
      <c r="B6" s="10" t="s">
        <v>8</v>
      </c>
      <c r="C6" s="11">
        <v>1534.87</v>
      </c>
      <c r="D6" s="12">
        <v>7.7000000000000002E-3</v>
      </c>
    </row>
    <row r="7" spans="1:4" ht="14.4">
      <c r="A7" s="20" t="s">
        <v>6</v>
      </c>
      <c r="B7" s="10" t="s">
        <v>9</v>
      </c>
      <c r="C7" s="11">
        <v>8262.02</v>
      </c>
      <c r="D7" s="12">
        <v>4.1700000000000001E-2</v>
      </c>
    </row>
    <row r="8" spans="1:4" ht="14.4">
      <c r="A8" s="20" t="s">
        <v>6</v>
      </c>
      <c r="B8" s="10" t="s">
        <v>10</v>
      </c>
      <c r="C8" s="11">
        <v>161052.99</v>
      </c>
      <c r="D8" s="12">
        <v>0.81340000000000001</v>
      </c>
    </row>
    <row r="9" spans="1:4" ht="14.4">
      <c r="A9" s="20" t="s">
        <v>11</v>
      </c>
      <c r="B9" s="10" t="s">
        <v>7</v>
      </c>
      <c r="C9" s="11">
        <v>14776.41</v>
      </c>
      <c r="D9" s="12">
        <v>0.13</v>
      </c>
    </row>
    <row r="10" spans="1:4" ht="14.4">
      <c r="A10" s="20" t="s">
        <v>11</v>
      </c>
      <c r="B10" s="10" t="s">
        <v>8</v>
      </c>
      <c r="C10" s="11">
        <v>1665.9</v>
      </c>
      <c r="D10" s="12">
        <v>1.46E-2</v>
      </c>
    </row>
    <row r="11" spans="1:4" ht="14.4">
      <c r="A11" s="20" t="s">
        <v>11</v>
      </c>
      <c r="B11" s="10" t="s">
        <v>9</v>
      </c>
      <c r="C11" s="11">
        <v>6225.09</v>
      </c>
      <c r="D11" s="12">
        <v>5.4699999999999999E-2</v>
      </c>
    </row>
    <row r="12" spans="1:4" ht="14.4">
      <c r="A12" s="21" t="s">
        <v>11</v>
      </c>
      <c r="B12" s="13" t="s">
        <v>10</v>
      </c>
      <c r="C12" s="14">
        <v>90996.71</v>
      </c>
      <c r="D12" s="15">
        <v>0.80049999999999999</v>
      </c>
    </row>
    <row r="13" spans="1:4">
      <c r="A13" s="22"/>
      <c r="B13" s="16"/>
      <c r="C13" s="16"/>
      <c r="D13" s="16"/>
    </row>
    <row r="14" spans="1:4">
      <c r="A14" s="23" t="s">
        <v>12</v>
      </c>
      <c r="B14" s="17"/>
      <c r="C14" s="17"/>
      <c r="D14" s="18">
        <f>SUM(D5:D8)</f>
        <v>0.99980000000000002</v>
      </c>
    </row>
    <row r="15" spans="1:4">
      <c r="A15" s="23" t="s">
        <v>13</v>
      </c>
      <c r="B15" s="17"/>
      <c r="C15" s="17"/>
      <c r="D15" s="18">
        <f>SUM(D9:D12)</f>
        <v>0.99980000000000002</v>
      </c>
    </row>
    <row r="17" spans="1:4" ht="22.05" customHeight="1">
      <c r="A17" s="1" t="s">
        <v>14</v>
      </c>
      <c r="B17" s="1"/>
      <c r="C17" s="1"/>
      <c r="D17" s="1"/>
    </row>
  </sheetData>
  <mergeCells count="3">
    <mergeCell ref="A1:D1"/>
    <mergeCell ref="A2:D2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selection activeCell="A24" sqref="A24:H25"/>
    </sheetView>
  </sheetViews>
  <sheetFormatPr defaultRowHeight="13.8"/>
  <cols>
    <col min="1" max="1" width="20" customWidth="1"/>
    <col min="2" max="8" width="15" customWidth="1"/>
  </cols>
  <sheetData>
    <row r="1" spans="1:8" s="3" customFormat="1" ht="30" customHeight="1">
      <c r="A1" s="2" t="s">
        <v>0</v>
      </c>
      <c r="B1" s="2"/>
      <c r="C1" s="2"/>
      <c r="D1" s="2"/>
      <c r="E1" s="2"/>
      <c r="F1" s="2"/>
      <c r="G1" s="2"/>
      <c r="H1" s="2"/>
    </row>
    <row r="3" spans="1:8" s="3" customFormat="1" ht="34.049999999999997" customHeight="1">
      <c r="A3" s="6" t="s">
        <v>2</v>
      </c>
      <c r="B3" s="6" t="s">
        <v>7</v>
      </c>
      <c r="C3" s="6" t="s">
        <v>8</v>
      </c>
      <c r="D3" s="6" t="s">
        <v>9</v>
      </c>
      <c r="E3" s="6" t="s">
        <v>10</v>
      </c>
    </row>
    <row r="4" spans="1:8" ht="14.4">
      <c r="A4" s="7" t="str">
        <f>Data!A5</f>
        <v>HCl</v>
      </c>
      <c r="B4" s="24">
        <f>Data!D5/SUM(Data!$D$5:'Data'!$D$8)*100</f>
        <v>13.702740548109624</v>
      </c>
      <c r="C4" s="24">
        <f>Data!D6/SUM(Data!$D$5:'Data'!$D$8)*100</f>
        <v>0.77015403080616129</v>
      </c>
      <c r="D4" s="24">
        <f>Data!D7/SUM(Data!$D$5:'Data'!$D$8)*100</f>
        <v>4.1708341668333668</v>
      </c>
      <c r="E4" s="24">
        <f>Data!D8/SUM(Data!$D$5:'Data'!$D$8)*100</f>
        <v>81.356271254250842</v>
      </c>
    </row>
    <row r="5" spans="1:8" ht="14.4">
      <c r="A5" s="13" t="str">
        <f>Data!A9</f>
        <v>HNO₃</v>
      </c>
      <c r="B5" s="25">
        <f>Data!D9/SUM(Data!$D$9:'Data'!$D$12)*100</f>
        <v>13.002600520104021</v>
      </c>
      <c r="C5" s="25">
        <f>Data!D10/SUM(Data!$D$9:'Data'!$D$12)*100</f>
        <v>1.4602920584116823</v>
      </c>
      <c r="D5" s="25">
        <f>Data!D11/SUM(Data!$D$9:'Data'!$D$12)*100</f>
        <v>5.4710942188437688</v>
      </c>
      <c r="E5" s="25">
        <f>Data!D12/SUM(Data!$D$9:'Data'!$D$12)*100</f>
        <v>80.066013202640534</v>
      </c>
    </row>
    <row r="24" spans="1:8">
      <c r="A24" s="26" t="s">
        <v>15</v>
      </c>
      <c r="B24" s="26"/>
      <c r="C24" s="26"/>
      <c r="D24" s="26"/>
      <c r="E24" s="26"/>
      <c r="F24" s="26"/>
      <c r="G24" s="26"/>
      <c r="H24" s="26"/>
    </row>
    <row r="25" spans="1:8">
      <c r="A25" s="26"/>
      <c r="B25" s="26"/>
      <c r="C25" s="26"/>
      <c r="D25" s="26"/>
      <c r="E25" s="26"/>
      <c r="F25" s="26"/>
      <c r="G25" s="26"/>
      <c r="H25" s="26"/>
    </row>
  </sheetData>
  <mergeCells count="2">
    <mergeCell ref="A1:H1"/>
    <mergeCell ref="A24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2026-08-14T00:03:36Z</dcterms:modified>
</cp:coreProperties>
</file>