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0887C5EE-11FB-4E01-BF3B-E21A66CE47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hase I Supernatant" sheetId="1" r:id="rId1"/>
    <sheet name="Phase II Supernatant" sheetId="2" r:id="rId2"/>
    <sheet name="Phase II Precipitate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H6" i="4"/>
  <c r="G6" i="4"/>
  <c r="F6" i="4"/>
  <c r="E6" i="4"/>
  <c r="I5" i="4"/>
  <c r="H5" i="4"/>
  <c r="G5" i="4"/>
  <c r="F5" i="4"/>
  <c r="E5" i="4"/>
</calcChain>
</file>

<file path=xl/sharedStrings.xml><?xml version="1.0" encoding="utf-8"?>
<sst xmlns="http://schemas.openxmlformats.org/spreadsheetml/2006/main" count="96" uniqueCount="27">
  <si>
    <t>CKD Phase I Supernatant</t>
  </si>
  <si>
    <t>Composition entering the Phase II pH-swing purification step</t>
  </si>
  <si>
    <t>Extraction agent</t>
  </si>
  <si>
    <t>Component</t>
  </si>
  <si>
    <t>Concentration (mg/L)</t>
  </si>
  <si>
    <t>Distribution (%)</t>
  </si>
  <si>
    <t>HCl</t>
  </si>
  <si>
    <t>Ca</t>
  </si>
  <si>
    <t>K</t>
  </si>
  <si>
    <t>Na</t>
  </si>
  <si>
    <t>Impurities*</t>
  </si>
  <si>
    <t>HNO₃</t>
  </si>
  <si>
    <t>* Impurities: Zn, Fe, Ti, Pb, Cu, Mg, Al, Sn, Cr, Si, and S.</t>
  </si>
  <si>
    <t>LOD = analytical limit of detection. A result reported as below LOD was retained as censored text and was not converted to zero.</t>
  </si>
  <si>
    <t>Distribution (%) is the reported compositional share within the analyzed fraction; it is not calcium recovery or retention.</t>
  </si>
  <si>
    <t>CKD Phase II Purified Supernatant</t>
  </si>
  <si>
    <t>Composition after three-stage NaOH pH adjustment and solid-liquid separation</t>
  </si>
  <si>
    <t>Analytical status</t>
  </si>
  <si>
    <t>Quantified</t>
  </si>
  <si>
    <t>Below LOD</t>
  </si>
  <si>
    <t>CKD Phase II Impurity Precipitate</t>
  </si>
  <si>
    <t>ICP-OES composition of solids removed during pH-swing purification</t>
  </si>
  <si>
    <t>Concentration (mg/kg)</t>
  </si>
  <si>
    <t>CKD Phase II Impurity Removal</t>
  </si>
  <si>
    <t>Reported Phase II results; no calcium-retention calculation is included</t>
  </si>
  <si>
    <t>Impurities before (mg/L)</t>
  </si>
  <si>
    <t>Impurities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</si>
</sst>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Aptos Display"/>
      <family val="2"/>
    </font>
    <font>
      <i/>
      <sz val="10"/>
      <color rgb="FF17324D"/>
      <name val="Aptos"/>
      <family val="2"/>
    </font>
    <font>
      <sz val="10"/>
      <color rgb="FF24313B"/>
      <name val="Aptos"/>
      <family val="2"/>
    </font>
    <font>
      <i/>
      <sz val="9"/>
      <color rgb="FF536471"/>
      <name val="Aptos"/>
      <family val="2"/>
    </font>
    <font>
      <b/>
      <sz val="10"/>
      <color theme="6" tint="0.79998168889431442"/>
      <name val="Times New Roman"/>
      <family val="1"/>
    </font>
    <font>
      <sz val="11"/>
      <color theme="6" tint="0.79998168889431442"/>
      <name val="Times New Roman"/>
      <family val="1"/>
    </font>
    <font>
      <sz val="10"/>
      <color rgb="FF24313B"/>
      <name val="Times New Roman"/>
      <family val="1"/>
    </font>
    <font>
      <b/>
      <sz val="16"/>
      <color theme="6" tint="0.79998168889431442"/>
      <name val="Times New Roman"/>
      <family val="1"/>
    </font>
    <font>
      <i/>
      <sz val="10"/>
      <color rgb="FF17324D"/>
      <name val="Times New Roman"/>
      <family val="1"/>
    </font>
    <font>
      <i/>
      <sz val="9"/>
      <color rgb="FF53647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DDE4"/>
      </bottom>
      <diagonal/>
    </border>
    <border>
      <left/>
      <right/>
      <top style="thin">
        <color rgb="FFD6DDE4"/>
      </top>
      <bottom style="thin">
        <color rgb="FFD6DDE4"/>
      </bottom>
      <diagonal/>
    </border>
    <border>
      <left/>
      <right/>
      <top style="thin">
        <color rgb="FFD6DDE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wrapText="1"/>
    </xf>
    <xf numFmtId="4" fontId="3" fillId="0" borderId="1" xfId="0" applyNumberFormat="1" applyFont="1" applyFill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vertical="center"/>
    </xf>
    <xf numFmtId="10" fontId="3" fillId="0" borderId="1" xfId="0" applyNumberFormat="1" applyFont="1" applyFill="1" applyBorder="1" applyAlignment="1">
      <alignment horizontal="center"/>
    </xf>
    <xf numFmtId="4" fontId="3" fillId="0" borderId="2" xfId="0" applyNumberFormat="1" applyFont="1" applyFill="1" applyBorder="1" applyAlignment="1">
      <alignment horizontal="center"/>
    </xf>
    <xf numFmtId="10" fontId="3" fillId="0" borderId="2" xfId="0" applyNumberFormat="1" applyFont="1" applyFill="1" applyBorder="1" applyAlignment="1">
      <alignment horizontal="center"/>
    </xf>
    <xf numFmtId="10" fontId="3" fillId="0" borderId="3" xfId="0" applyNumberFormat="1" applyFont="1" applyFill="1" applyBorder="1" applyAlignment="1">
      <alignment horizontal="center"/>
    </xf>
    <xf numFmtId="0" fontId="9" fillId="3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wrapText="1"/>
    </xf>
    <xf numFmtId="0" fontId="7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600"/>
              <a:t>Impurities before pH-swing purification (mg/L)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Impurities before (mg/L)</c:v>
          </c:tx>
          <c:spPr>
            <a:solidFill>
              <a:srgbClr val="D96B5F"/>
            </a:solidFill>
          </c:spPr>
          <c:invertIfNegative val="1"/>
          <c:cat>
            <c:strRef>
              <c:f>Results!$A$5:$A$6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Results!$B$5:$B$6</c:f>
              <c:numCache>
                <c:formatCode>#,##0.00</c:formatCode>
                <c:ptCount val="2"/>
                <c:pt idx="0">
                  <c:v>1131.5899999999999</c:v>
                </c:pt>
                <c:pt idx="1">
                  <c:v>993.75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3CD-4D55-9851-B635C77D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400"/>
                  <a:t>Concentration (mg/L)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3325416524021453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Phase II precipitate composition (%)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Ca</c:v>
          </c:tx>
          <c:spPr>
            <a:solidFill>
              <a:srgbClr val="4C78A8"/>
            </a:solidFill>
          </c:spPr>
          <c:invertIfNegative val="1"/>
          <c:cat>
            <c:strRef>
              <c:f>Results!$E$5:$E$6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Results!$F$5:$F$6</c:f>
              <c:numCache>
                <c:formatCode>0.00</c:formatCode>
                <c:ptCount val="2"/>
                <c:pt idx="0">
                  <c:v>13.700000000000001</c:v>
                </c:pt>
                <c:pt idx="1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696-4540-B6D5-DCEBC202F4D9}"/>
            </c:ext>
          </c:extLst>
        </c:ser>
        <c:ser>
          <c:idx val="1"/>
          <c:order val="1"/>
          <c:tx>
            <c:v>K</c:v>
          </c:tx>
          <c:spPr>
            <a:solidFill>
              <a:srgbClr val="59A5A2"/>
            </a:solidFill>
          </c:spPr>
          <c:invertIfNegative val="1"/>
          <c:cat>
            <c:strRef>
              <c:f>Results!$E$5:$E$6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Results!$G$5:$G$6</c:f>
              <c:numCache>
                <c:formatCode>0.00</c:formatCode>
                <c:ptCount val="2"/>
                <c:pt idx="0">
                  <c:v>0.77</c:v>
                </c:pt>
                <c:pt idx="1">
                  <c:v>1.46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D696-4540-B6D5-DCEBC202F4D9}"/>
            </c:ext>
          </c:extLst>
        </c:ser>
        <c:ser>
          <c:idx val="2"/>
          <c:order val="2"/>
          <c:tx>
            <c:v>Na</c:v>
          </c:tx>
          <c:spPr>
            <a:solidFill>
              <a:srgbClr val="E3A546"/>
            </a:solidFill>
          </c:spPr>
          <c:invertIfNegative val="1"/>
          <c:cat>
            <c:strRef>
              <c:f>Results!$E$5:$E$6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Results!$H$5:$H$6</c:f>
              <c:numCache>
                <c:formatCode>0.00</c:formatCode>
                <c:ptCount val="2"/>
                <c:pt idx="0">
                  <c:v>4.17</c:v>
                </c:pt>
                <c:pt idx="1">
                  <c:v>5.47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D696-4540-B6D5-DCEBC202F4D9}"/>
            </c:ext>
          </c:extLst>
        </c:ser>
        <c:ser>
          <c:idx val="3"/>
          <c:order val="3"/>
          <c:tx>
            <c:v>Impurities*</c:v>
          </c:tx>
          <c:spPr>
            <a:solidFill>
              <a:srgbClr val="D96B5F"/>
            </a:solidFill>
          </c:spPr>
          <c:invertIfNegative val="1"/>
          <c:cat>
            <c:strRef>
              <c:f>Results!$E$5:$E$6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Results!$I$5:$I$6</c:f>
              <c:numCache>
                <c:formatCode>0.00</c:formatCode>
                <c:ptCount val="2"/>
                <c:pt idx="0">
                  <c:v>81.34</c:v>
                </c:pt>
                <c:pt idx="1">
                  <c:v>80.05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D696-4540-B6D5-DCEBC202F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Composition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  <c:majorUnit val="20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</xdr:rowOff>
    </xdr:from>
    <xdr:to>
      <xdr:col>4</xdr:col>
      <xdr:colOff>0</xdr:colOff>
      <xdr:row>23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7620</xdr:rowOff>
    </xdr:from>
    <xdr:to>
      <xdr:col>12</xdr:col>
      <xdr:colOff>0</xdr:colOff>
      <xdr:row>23</xdr:row>
      <xdr:rowOff>7620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workbookViewId="0">
      <selection activeCell="A4" sqref="A4:XFD4"/>
    </sheetView>
  </sheetViews>
  <sheetFormatPr defaultRowHeight="13.8"/>
  <cols>
    <col min="1" max="1" width="23" customWidth="1"/>
    <col min="2" max="2" width="18" customWidth="1"/>
    <col min="3" max="4" width="23" customWidth="1"/>
  </cols>
  <sheetData>
    <row r="1" spans="1:7" ht="30" customHeight="1">
      <c r="A1" s="15" t="s">
        <v>0</v>
      </c>
      <c r="B1" s="15"/>
      <c r="C1" s="15"/>
      <c r="D1" s="15"/>
      <c r="E1" s="15"/>
      <c r="F1" s="15"/>
      <c r="G1" s="15"/>
    </row>
    <row r="2" spans="1:7" ht="24" customHeight="1">
      <c r="A2" s="20" t="s">
        <v>1</v>
      </c>
      <c r="B2" s="20"/>
      <c r="C2" s="20"/>
      <c r="D2" s="20"/>
      <c r="E2" s="20"/>
      <c r="F2" s="20"/>
      <c r="G2" s="20"/>
    </row>
    <row r="4" spans="1:7" s="12" customFormat="1" ht="34.049999999999997" customHeight="1">
      <c r="A4" s="11" t="s">
        <v>2</v>
      </c>
      <c r="B4" s="11" t="s">
        <v>3</v>
      </c>
      <c r="C4" s="11" t="s">
        <v>4</v>
      </c>
      <c r="D4" s="11" t="s">
        <v>5</v>
      </c>
    </row>
    <row r="5" spans="1:7" ht="14.4">
      <c r="A5" s="13" t="s">
        <v>6</v>
      </c>
      <c r="B5" s="1" t="s">
        <v>7</v>
      </c>
      <c r="C5" s="7">
        <v>20658.61</v>
      </c>
      <c r="D5" s="16">
        <v>0.93289999999999995</v>
      </c>
    </row>
    <row r="6" spans="1:7" ht="14.4">
      <c r="A6" s="22" t="s">
        <v>6</v>
      </c>
      <c r="B6" s="2" t="s">
        <v>8</v>
      </c>
      <c r="C6" s="17">
        <v>305.95</v>
      </c>
      <c r="D6" s="18">
        <v>1.38E-2</v>
      </c>
    </row>
    <row r="7" spans="1:7" ht="14.4">
      <c r="A7" s="22" t="s">
        <v>6</v>
      </c>
      <c r="B7" s="2" t="s">
        <v>9</v>
      </c>
      <c r="C7" s="17">
        <v>48.43</v>
      </c>
      <c r="D7" s="18">
        <v>2.2000000000000001E-3</v>
      </c>
    </row>
    <row r="8" spans="1:7" ht="14.4">
      <c r="A8" s="22" t="s">
        <v>6</v>
      </c>
      <c r="B8" s="2" t="s">
        <v>10</v>
      </c>
      <c r="C8" s="17">
        <v>1131.5899999999999</v>
      </c>
      <c r="D8" s="18">
        <v>5.11E-2</v>
      </c>
    </row>
    <row r="9" spans="1:7" ht="14.4">
      <c r="A9" s="22" t="s">
        <v>11</v>
      </c>
      <c r="B9" s="2" t="s">
        <v>7</v>
      </c>
      <c r="C9" s="17">
        <v>20072.080000000002</v>
      </c>
      <c r="D9" s="18">
        <v>0.93820000000000003</v>
      </c>
    </row>
    <row r="10" spans="1:7" ht="14.4">
      <c r="A10" s="22" t="s">
        <v>11</v>
      </c>
      <c r="B10" s="2" t="s">
        <v>8</v>
      </c>
      <c r="C10" s="17">
        <v>287.36</v>
      </c>
      <c r="D10" s="18">
        <v>1.34E-2</v>
      </c>
    </row>
    <row r="11" spans="1:7" ht="14.4">
      <c r="A11" s="22" t="s">
        <v>11</v>
      </c>
      <c r="B11" s="2" t="s">
        <v>9</v>
      </c>
      <c r="C11" s="17">
        <v>40.61</v>
      </c>
      <c r="D11" s="18">
        <v>1.9E-3</v>
      </c>
    </row>
    <row r="12" spans="1:7" ht="14.4">
      <c r="A12" s="14" t="s">
        <v>11</v>
      </c>
      <c r="B12" s="3" t="s">
        <v>10</v>
      </c>
      <c r="C12" s="8">
        <v>993.75</v>
      </c>
      <c r="D12" s="19">
        <v>4.6399999999999997E-2</v>
      </c>
    </row>
    <row r="14" spans="1:7" ht="22.05" customHeight="1">
      <c r="A14" s="6" t="s">
        <v>12</v>
      </c>
      <c r="B14" s="6"/>
      <c r="C14" s="6"/>
      <c r="D14" s="6"/>
    </row>
    <row r="15" spans="1:7" ht="22.05" customHeight="1">
      <c r="A15" s="6" t="s">
        <v>13</v>
      </c>
      <c r="B15" s="6"/>
      <c r="C15" s="6"/>
      <c r="D15" s="6"/>
    </row>
  </sheetData>
  <mergeCells count="4">
    <mergeCell ref="A1:G1"/>
    <mergeCell ref="A2:G2"/>
    <mergeCell ref="A14:D14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selection activeCell="B7" sqref="B7"/>
    </sheetView>
  </sheetViews>
  <sheetFormatPr defaultRowHeight="13.8"/>
  <cols>
    <col min="1" max="1" width="21" customWidth="1"/>
    <col min="2" max="2" width="18" customWidth="1"/>
    <col min="3" max="5" width="21" customWidth="1"/>
  </cols>
  <sheetData>
    <row r="1" spans="1:5" ht="30" customHeight="1">
      <c r="A1" s="15" t="s">
        <v>15</v>
      </c>
      <c r="B1" s="4"/>
      <c r="C1" s="4"/>
      <c r="D1" s="4"/>
      <c r="E1" s="4"/>
    </row>
    <row r="2" spans="1:5" ht="24" customHeight="1">
      <c r="A2" s="20" t="s">
        <v>16</v>
      </c>
      <c r="B2" s="20"/>
      <c r="C2" s="20"/>
      <c r="D2" s="20"/>
      <c r="E2" s="20"/>
    </row>
    <row r="4" spans="1:5" s="12" customFormat="1" ht="34.049999999999997" customHeight="1">
      <c r="A4" s="11" t="s">
        <v>2</v>
      </c>
      <c r="B4" s="11" t="s">
        <v>3</v>
      </c>
      <c r="C4" s="11" t="s">
        <v>4</v>
      </c>
      <c r="D4" s="11" t="s">
        <v>5</v>
      </c>
      <c r="E4" s="11" t="s">
        <v>17</v>
      </c>
    </row>
    <row r="5" spans="1:5" ht="14.4">
      <c r="A5" s="13" t="s">
        <v>6</v>
      </c>
      <c r="B5" s="1" t="s">
        <v>7</v>
      </c>
      <c r="C5" s="7">
        <v>20980.38</v>
      </c>
      <c r="D5" s="16">
        <v>0.92390000000000005</v>
      </c>
      <c r="E5" s="1" t="s">
        <v>18</v>
      </c>
    </row>
    <row r="6" spans="1:5" ht="14.4">
      <c r="A6" s="22" t="s">
        <v>6</v>
      </c>
      <c r="B6" s="2" t="s">
        <v>8</v>
      </c>
      <c r="C6" s="17">
        <v>300.67</v>
      </c>
      <c r="D6" s="18">
        <v>1.32E-2</v>
      </c>
      <c r="E6" s="2" t="s">
        <v>18</v>
      </c>
    </row>
    <row r="7" spans="1:5" ht="14.4">
      <c r="A7" s="22" t="s">
        <v>6</v>
      </c>
      <c r="B7" s="2" t="s">
        <v>9</v>
      </c>
      <c r="C7" s="17">
        <v>1427.19</v>
      </c>
      <c r="D7" s="18">
        <v>6.2799999999999995E-2</v>
      </c>
      <c r="E7" s="2" t="s">
        <v>18</v>
      </c>
    </row>
    <row r="8" spans="1:5" ht="14.4">
      <c r="A8" s="22" t="s">
        <v>6</v>
      </c>
      <c r="B8" s="2" t="s">
        <v>10</v>
      </c>
      <c r="C8" s="17"/>
      <c r="D8" s="18"/>
      <c r="E8" s="2" t="s">
        <v>19</v>
      </c>
    </row>
    <row r="9" spans="1:5" ht="14.4">
      <c r="A9" s="22" t="s">
        <v>11</v>
      </c>
      <c r="B9" s="2" t="s">
        <v>7</v>
      </c>
      <c r="C9" s="17">
        <v>20623.759999999998</v>
      </c>
      <c r="D9" s="18">
        <v>0.93779999999999997</v>
      </c>
      <c r="E9" s="2" t="s">
        <v>18</v>
      </c>
    </row>
    <row r="10" spans="1:5" ht="14.4">
      <c r="A10" s="22" t="s">
        <v>11</v>
      </c>
      <c r="B10" s="2" t="s">
        <v>8</v>
      </c>
      <c r="C10" s="17">
        <v>281.64</v>
      </c>
      <c r="D10" s="18">
        <v>1.2800000000000001E-2</v>
      </c>
      <c r="E10" s="2" t="s">
        <v>18</v>
      </c>
    </row>
    <row r="11" spans="1:5" ht="14.4">
      <c r="A11" s="22" t="s">
        <v>11</v>
      </c>
      <c r="B11" s="2" t="s">
        <v>9</v>
      </c>
      <c r="C11" s="17">
        <v>1084.3800000000001</v>
      </c>
      <c r="D11" s="18">
        <v>4.9299999999999997E-2</v>
      </c>
      <c r="E11" s="2" t="s">
        <v>18</v>
      </c>
    </row>
    <row r="12" spans="1:5" ht="14.4">
      <c r="A12" s="14" t="s">
        <v>11</v>
      </c>
      <c r="B12" s="3" t="s">
        <v>10</v>
      </c>
      <c r="C12" s="8"/>
      <c r="D12" s="19"/>
      <c r="E12" s="3" t="s">
        <v>19</v>
      </c>
    </row>
    <row r="14" spans="1:5" ht="22.05" customHeight="1">
      <c r="A14" s="21" t="s">
        <v>12</v>
      </c>
      <c r="B14" s="21"/>
      <c r="C14" s="21"/>
      <c r="D14" s="21"/>
      <c r="E14" s="21"/>
    </row>
    <row r="15" spans="1:5" ht="22.05" customHeight="1">
      <c r="A15" s="21" t="s">
        <v>13</v>
      </c>
      <c r="B15" s="21"/>
      <c r="C15" s="21"/>
      <c r="D15" s="21"/>
      <c r="E15" s="21"/>
    </row>
  </sheetData>
  <mergeCells count="4">
    <mergeCell ref="A1:E1"/>
    <mergeCell ref="A2:E2"/>
    <mergeCell ref="A14:E14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selection activeCell="A15" sqref="A15:D15"/>
    </sheetView>
  </sheetViews>
  <sheetFormatPr defaultRowHeight="13.8"/>
  <cols>
    <col min="1" max="1" width="23" customWidth="1"/>
    <col min="2" max="2" width="18" customWidth="1"/>
    <col min="3" max="4" width="23" customWidth="1"/>
  </cols>
  <sheetData>
    <row r="1" spans="1:6" ht="30" customHeight="1">
      <c r="A1" s="15" t="s">
        <v>20</v>
      </c>
      <c r="B1" s="15"/>
      <c r="C1" s="15"/>
      <c r="D1" s="15"/>
      <c r="E1" s="15"/>
      <c r="F1" s="15"/>
    </row>
    <row r="2" spans="1:6" ht="24" customHeight="1">
      <c r="A2" s="20" t="s">
        <v>21</v>
      </c>
      <c r="B2" s="20"/>
      <c r="C2" s="20"/>
      <c r="D2" s="20"/>
      <c r="E2" s="20"/>
      <c r="F2" s="20"/>
    </row>
    <row r="4" spans="1:6" s="12" customFormat="1" ht="34.049999999999997" customHeight="1">
      <c r="A4" s="11" t="s">
        <v>2</v>
      </c>
      <c r="B4" s="11" t="s">
        <v>3</v>
      </c>
      <c r="C4" s="11" t="s">
        <v>22</v>
      </c>
      <c r="D4" s="11" t="s">
        <v>5</v>
      </c>
    </row>
    <row r="5" spans="1:6" ht="14.4">
      <c r="A5" s="1" t="s">
        <v>6</v>
      </c>
      <c r="B5" s="1" t="s">
        <v>7</v>
      </c>
      <c r="C5" s="7">
        <v>27143.73</v>
      </c>
      <c r="D5" s="16">
        <v>0.13700000000000001</v>
      </c>
    </row>
    <row r="6" spans="1:6" ht="14.4">
      <c r="A6" s="2" t="s">
        <v>6</v>
      </c>
      <c r="B6" s="2" t="s">
        <v>8</v>
      </c>
      <c r="C6" s="17">
        <v>1534.87</v>
      </c>
      <c r="D6" s="18">
        <v>7.7000000000000002E-3</v>
      </c>
    </row>
    <row r="7" spans="1:6" ht="14.4">
      <c r="A7" s="2" t="s">
        <v>6</v>
      </c>
      <c r="B7" s="2" t="s">
        <v>9</v>
      </c>
      <c r="C7" s="17">
        <v>8262.02</v>
      </c>
      <c r="D7" s="18">
        <v>4.1700000000000001E-2</v>
      </c>
    </row>
    <row r="8" spans="1:6" ht="14.4">
      <c r="A8" s="2" t="s">
        <v>6</v>
      </c>
      <c r="B8" s="2" t="s">
        <v>10</v>
      </c>
      <c r="C8" s="17">
        <v>161052.99</v>
      </c>
      <c r="D8" s="18">
        <v>0.81340000000000001</v>
      </c>
    </row>
    <row r="9" spans="1:6" ht="14.4">
      <c r="A9" s="2" t="s">
        <v>11</v>
      </c>
      <c r="B9" s="2" t="s">
        <v>7</v>
      </c>
      <c r="C9" s="17">
        <v>14776.41</v>
      </c>
      <c r="D9" s="18">
        <v>0.13</v>
      </c>
    </row>
    <row r="10" spans="1:6" ht="14.4">
      <c r="A10" s="2" t="s">
        <v>11</v>
      </c>
      <c r="B10" s="2" t="s">
        <v>8</v>
      </c>
      <c r="C10" s="17">
        <v>1665.9</v>
      </c>
      <c r="D10" s="18">
        <v>1.46E-2</v>
      </c>
    </row>
    <row r="11" spans="1:6" ht="14.4">
      <c r="A11" s="2" t="s">
        <v>11</v>
      </c>
      <c r="B11" s="2" t="s">
        <v>9</v>
      </c>
      <c r="C11" s="17">
        <v>6225.09</v>
      </c>
      <c r="D11" s="18">
        <v>5.4699999999999999E-2</v>
      </c>
    </row>
    <row r="12" spans="1:6" ht="14.4">
      <c r="A12" s="3" t="s">
        <v>11</v>
      </c>
      <c r="B12" s="3" t="s">
        <v>10</v>
      </c>
      <c r="C12" s="8">
        <v>90996.71</v>
      </c>
      <c r="D12" s="19">
        <v>0.80049999999999999</v>
      </c>
    </row>
    <row r="14" spans="1:6" ht="22.05" customHeight="1">
      <c r="A14" s="6" t="s">
        <v>12</v>
      </c>
      <c r="B14" s="6"/>
      <c r="C14" s="6"/>
      <c r="D14" s="6"/>
    </row>
    <row r="15" spans="1:6" ht="22.05" customHeight="1">
      <c r="A15" s="6" t="s">
        <v>13</v>
      </c>
      <c r="B15" s="6"/>
      <c r="C15" s="6"/>
      <c r="D15" s="6"/>
    </row>
    <row r="16" spans="1:6" ht="22.05" customHeight="1">
      <c r="A16" s="6" t="s">
        <v>14</v>
      </c>
      <c r="B16" s="6"/>
      <c r="C16" s="6"/>
      <c r="D16" s="6"/>
    </row>
  </sheetData>
  <mergeCells count="5">
    <mergeCell ref="A1:F1"/>
    <mergeCell ref="A2:F2"/>
    <mergeCell ref="A14:D14"/>
    <mergeCell ref="A15:D15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showGridLines="0" tabSelected="1" workbookViewId="0">
      <selection activeCell="D6" sqref="D6"/>
    </sheetView>
  </sheetViews>
  <sheetFormatPr defaultRowHeight="13.8"/>
  <cols>
    <col min="1" max="1" width="18" customWidth="1"/>
    <col min="2" max="4" width="14" customWidth="1"/>
    <col min="5" max="5" width="18" customWidth="1"/>
    <col min="6" max="12" width="14" customWidth="1"/>
  </cols>
  <sheetData>
    <row r="1" spans="1:12" ht="30" customHeight="1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4" customHeight="1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s="12" customFormat="1" ht="34.049999999999997" customHeight="1">
      <c r="A4" s="11" t="s">
        <v>2</v>
      </c>
      <c r="B4" s="11" t="s">
        <v>25</v>
      </c>
      <c r="C4" s="11" t="s">
        <v>26</v>
      </c>
      <c r="E4" s="11" t="s">
        <v>2</v>
      </c>
      <c r="F4" s="11" t="s">
        <v>7</v>
      </c>
      <c r="G4" s="11" t="s">
        <v>8</v>
      </c>
      <c r="H4" s="11" t="s">
        <v>9</v>
      </c>
      <c r="I4" s="11" t="s">
        <v>10</v>
      </c>
    </row>
    <row r="5" spans="1:12" ht="14.4">
      <c r="A5" s="13" t="s">
        <v>6</v>
      </c>
      <c r="B5" s="7">
        <v>1131.5899999999999</v>
      </c>
      <c r="C5" s="1" t="s">
        <v>19</v>
      </c>
      <c r="E5" s="13" t="str">
        <f>'Phase II Precipitate'!A5</f>
        <v>HCl</v>
      </c>
      <c r="F5" s="9">
        <f>'Phase II Precipitate'!D5*100</f>
        <v>13.700000000000001</v>
      </c>
      <c r="G5" s="9">
        <f>'Phase II Precipitate'!D6*100</f>
        <v>0.77</v>
      </c>
      <c r="H5" s="9">
        <f>'Phase II Precipitate'!D7*100</f>
        <v>4.17</v>
      </c>
      <c r="I5" s="9">
        <f>'Phase II Precipitate'!D8*100</f>
        <v>81.34</v>
      </c>
    </row>
    <row r="6" spans="1:12" ht="14.4">
      <c r="A6" s="14" t="s">
        <v>11</v>
      </c>
      <c r="B6" s="8">
        <v>993.75</v>
      </c>
      <c r="C6" s="3" t="s">
        <v>19</v>
      </c>
      <c r="E6" s="14" t="str">
        <f>'Phase II Precipitate'!A9</f>
        <v>HNO₃</v>
      </c>
      <c r="F6" s="10">
        <f>'Phase II Precipitate'!D9*100</f>
        <v>13</v>
      </c>
      <c r="G6" s="10">
        <f>'Phase II Precipitate'!D10*100</f>
        <v>1.46</v>
      </c>
      <c r="H6" s="10">
        <f>'Phase II Precipitate'!D11*100</f>
        <v>5.47</v>
      </c>
      <c r="I6" s="10">
        <f>'Phase II Precipitate'!D12*100</f>
        <v>80.05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 I Supernatant</vt:lpstr>
      <vt:lpstr>Phase II Supernatant</vt:lpstr>
      <vt:lpstr>Phase II Precipitate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2026-08-13T23:58:58Z</dcterms:modified>
</cp:coreProperties>
</file>