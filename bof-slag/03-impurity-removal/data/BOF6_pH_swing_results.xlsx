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1719263C-0F43-4471-91C6-3FFFCD4AA9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F Dataset" sheetId="1" r:id="rId1"/>
    <sheet name="Balanced Data" sheetId="2" r:id="rId2"/>
    <sheet name="Recovery &amp; Selectivity" sheetId="3" r:id="rId3"/>
    <sheet name="pH Method" sheetId="5" r:id="rId4"/>
    <sheet name="pH Adjustments" sheetId="6" r:id="rId5"/>
    <sheet name="pH Concentrations" sheetId="7" r:id="rId6"/>
    <sheet name="pH Precipitation" sheetId="8" r:id="rId7"/>
    <sheet name="pH Results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9" l="1"/>
  <c r="E12" i="9"/>
  <c r="D12" i="9"/>
  <c r="C12" i="9"/>
  <c r="F11" i="9"/>
  <c r="E11" i="9"/>
  <c r="D11" i="9"/>
  <c r="C11" i="9"/>
  <c r="F10" i="9"/>
  <c r="E10" i="9"/>
  <c r="D10" i="9"/>
  <c r="C10" i="9"/>
  <c r="F9" i="9"/>
  <c r="E9" i="9"/>
  <c r="D9" i="9"/>
  <c r="C9" i="9"/>
  <c r="F8" i="9"/>
  <c r="E8" i="9"/>
  <c r="D8" i="9"/>
  <c r="C8" i="9"/>
  <c r="F7" i="9"/>
  <c r="E7" i="9"/>
  <c r="D7" i="9"/>
  <c r="C7" i="9"/>
  <c r="F6" i="9"/>
  <c r="E6" i="9"/>
  <c r="D6" i="9"/>
  <c r="C6" i="9"/>
  <c r="S12" i="8"/>
  <c r="R12" i="8"/>
  <c r="Q12" i="8"/>
  <c r="P12" i="8"/>
  <c r="O12" i="8"/>
  <c r="N12" i="8"/>
  <c r="M12" i="8"/>
  <c r="I12" i="8"/>
  <c r="H12" i="8"/>
  <c r="G12" i="8"/>
  <c r="F12" i="8"/>
  <c r="E12" i="8"/>
  <c r="D12" i="8"/>
  <c r="C12" i="8"/>
  <c r="S11" i="8"/>
  <c r="R11" i="8"/>
  <c r="Q11" i="8"/>
  <c r="P11" i="8"/>
  <c r="O11" i="8"/>
  <c r="N11" i="8"/>
  <c r="M11" i="8"/>
  <c r="I11" i="8"/>
  <c r="H11" i="8"/>
  <c r="G11" i="8"/>
  <c r="F11" i="8"/>
  <c r="E11" i="8"/>
  <c r="D11" i="8"/>
  <c r="C11" i="8"/>
  <c r="S10" i="8"/>
  <c r="R10" i="8"/>
  <c r="Q10" i="8"/>
  <c r="P10" i="8"/>
  <c r="O10" i="8"/>
  <c r="N10" i="8"/>
  <c r="M10" i="8"/>
  <c r="I10" i="8"/>
  <c r="H10" i="8"/>
  <c r="G10" i="8"/>
  <c r="F10" i="8"/>
  <c r="E10" i="8"/>
  <c r="D10" i="8"/>
  <c r="C10" i="8"/>
  <c r="S9" i="8"/>
  <c r="R9" i="8"/>
  <c r="Q9" i="8"/>
  <c r="P9" i="8"/>
  <c r="O9" i="8"/>
  <c r="N9" i="8"/>
  <c r="M9" i="8"/>
  <c r="I9" i="8"/>
  <c r="H9" i="8"/>
  <c r="G9" i="8"/>
  <c r="F9" i="8"/>
  <c r="E9" i="8"/>
  <c r="D9" i="8"/>
  <c r="C9" i="8"/>
  <c r="S8" i="8"/>
  <c r="R8" i="8"/>
  <c r="Q8" i="8"/>
  <c r="P8" i="8"/>
  <c r="O8" i="8"/>
  <c r="N8" i="8"/>
  <c r="M8" i="8"/>
  <c r="I8" i="8"/>
  <c r="H8" i="8"/>
  <c r="G8" i="8"/>
  <c r="F8" i="8"/>
  <c r="E8" i="8"/>
  <c r="D8" i="8"/>
  <c r="C8" i="8"/>
  <c r="S7" i="8"/>
  <c r="R7" i="8"/>
  <c r="Q7" i="8"/>
  <c r="P7" i="8"/>
  <c r="O7" i="8"/>
  <c r="N7" i="8"/>
  <c r="M7" i="8"/>
  <c r="I7" i="8"/>
  <c r="H7" i="8"/>
  <c r="G7" i="8"/>
  <c r="F7" i="8"/>
  <c r="E7" i="8"/>
  <c r="D7" i="8"/>
  <c r="C7" i="8"/>
  <c r="S6" i="8"/>
  <c r="R6" i="8"/>
  <c r="Q6" i="8"/>
  <c r="P6" i="8"/>
  <c r="O6" i="8"/>
  <c r="N6" i="8"/>
  <c r="M6" i="8"/>
  <c r="I6" i="8"/>
  <c r="H6" i="8"/>
  <c r="G6" i="8"/>
  <c r="F6" i="8"/>
  <c r="E6" i="8"/>
  <c r="D6" i="8"/>
  <c r="C6" i="8"/>
  <c r="D11" i="7"/>
  <c r="D10" i="7"/>
  <c r="D9" i="7"/>
  <c r="D8" i="7"/>
  <c r="D7" i="7"/>
  <c r="D6" i="7"/>
  <c r="D5" i="7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9" i="2"/>
  <c r="M9" i="2" s="1"/>
  <c r="A9" i="2"/>
  <c r="A8" i="2"/>
  <c r="A7" i="2"/>
  <c r="A6" i="2"/>
  <c r="G5" i="2"/>
  <c r="M5" i="2" s="1"/>
  <c r="A5" i="2"/>
  <c r="G4" i="2"/>
  <c r="M4" i="2" s="1"/>
  <c r="D4" i="2"/>
  <c r="J4" i="2" s="1"/>
  <c r="A4" i="2"/>
  <c r="F11" i="1"/>
  <c r="G7" i="2" s="1"/>
  <c r="M7" i="2" s="1"/>
  <c r="F10" i="1"/>
  <c r="F7" i="2" s="1"/>
  <c r="L7" i="2" s="1"/>
  <c r="F9" i="1"/>
  <c r="E6" i="2" s="1"/>
  <c r="K6" i="2" s="1"/>
  <c r="F8" i="1"/>
  <c r="D6" i="2" s="1"/>
  <c r="J6" i="2" s="1"/>
  <c r="F7" i="1"/>
  <c r="C5" i="2" s="1"/>
  <c r="I5" i="2" s="1"/>
  <c r="F6" i="1"/>
  <c r="B5" i="2" s="1"/>
  <c r="F5" i="1"/>
  <c r="F4" i="1"/>
  <c r="J6" i="3" l="1"/>
  <c r="J11" i="3"/>
  <c r="F5" i="2"/>
  <c r="L5" i="2" s="1"/>
  <c r="J7" i="3"/>
  <c r="C8" i="2"/>
  <c r="I8" i="2" s="1"/>
  <c r="J8" i="3"/>
  <c r="C7" i="2"/>
  <c r="I7" i="2" s="1"/>
  <c r="F8" i="2"/>
  <c r="L8" i="2" s="1"/>
  <c r="G8" i="2"/>
  <c r="M8" i="2" s="1"/>
  <c r="C9" i="2"/>
  <c r="I9" i="2" s="1"/>
  <c r="F7" i="7" s="1"/>
  <c r="J9" i="3"/>
  <c r="C6" i="2"/>
  <c r="I6" i="2" s="1"/>
  <c r="I7" i="3"/>
  <c r="H5" i="2"/>
  <c r="J11" i="7"/>
  <c r="J9" i="7"/>
  <c r="J7" i="7"/>
  <c r="J5" i="7"/>
  <c r="J10" i="7"/>
  <c r="J8" i="7"/>
  <c r="J6" i="7"/>
  <c r="B4" i="2"/>
  <c r="D5" i="2"/>
  <c r="J5" i="2" s="1"/>
  <c r="F6" i="2"/>
  <c r="L6" i="2" s="1"/>
  <c r="C4" i="2"/>
  <c r="I4" i="2" s="1"/>
  <c r="E5" i="2"/>
  <c r="K5" i="2" s="1"/>
  <c r="G6" i="2"/>
  <c r="M6" i="2" s="1"/>
  <c r="F4" i="2"/>
  <c r="L4" i="2" s="1"/>
  <c r="B9" i="2"/>
  <c r="E4" i="2"/>
  <c r="K4" i="2" s="1"/>
  <c r="B8" i="2"/>
  <c r="D9" i="2"/>
  <c r="J9" i="2" s="1"/>
  <c r="J10" i="3"/>
  <c r="E9" i="2"/>
  <c r="K9" i="2" s="1"/>
  <c r="B7" i="2"/>
  <c r="D8" i="2"/>
  <c r="J8" i="2" s="1"/>
  <c r="F9" i="2"/>
  <c r="L9" i="2" s="1"/>
  <c r="E8" i="2"/>
  <c r="K8" i="2" s="1"/>
  <c r="B6" i="2"/>
  <c r="D7" i="2"/>
  <c r="J7" i="2" s="1"/>
  <c r="E7" i="2"/>
  <c r="K7" i="2" s="1"/>
  <c r="F9" i="7" l="1"/>
  <c r="F10" i="7"/>
  <c r="F5" i="7"/>
  <c r="G8" i="9"/>
  <c r="F8" i="7"/>
  <c r="F6" i="7"/>
  <c r="F11" i="7"/>
  <c r="G6" i="9"/>
  <c r="G10" i="9"/>
  <c r="G9" i="9"/>
  <c r="H11" i="7"/>
  <c r="H9" i="7"/>
  <c r="H7" i="7"/>
  <c r="H5" i="7"/>
  <c r="H10" i="7"/>
  <c r="H8" i="7"/>
  <c r="H6" i="7"/>
  <c r="G12" i="9"/>
  <c r="G7" i="9"/>
  <c r="H6" i="2"/>
  <c r="N6" i="2"/>
  <c r="I8" i="3"/>
  <c r="N4" i="2"/>
  <c r="I6" i="3"/>
  <c r="H6" i="3"/>
  <c r="H4" i="2"/>
  <c r="I11" i="7"/>
  <c r="I9" i="7"/>
  <c r="I7" i="7"/>
  <c r="I5" i="7"/>
  <c r="I10" i="7"/>
  <c r="I8" i="7"/>
  <c r="I6" i="7"/>
  <c r="G11" i="9"/>
  <c r="H9" i="2"/>
  <c r="N9" i="2"/>
  <c r="I11" i="3"/>
  <c r="H11" i="3"/>
  <c r="N7" i="2"/>
  <c r="H7" i="2"/>
  <c r="I9" i="3"/>
  <c r="G11" i="7"/>
  <c r="G9" i="7"/>
  <c r="G7" i="7"/>
  <c r="G5" i="7"/>
  <c r="G10" i="7"/>
  <c r="G8" i="7"/>
  <c r="G6" i="7"/>
  <c r="N5" i="2"/>
  <c r="H8" i="2"/>
  <c r="I10" i="3"/>
  <c r="N8" i="2"/>
  <c r="H8" i="3" l="1"/>
  <c r="H9" i="3"/>
  <c r="H7" i="3"/>
  <c r="E10" i="7"/>
  <c r="E8" i="7"/>
  <c r="E6" i="7"/>
  <c r="E11" i="7"/>
  <c r="E9" i="7"/>
  <c r="E7" i="7"/>
  <c r="E5" i="7"/>
  <c r="H10" i="3"/>
  <c r="I8" i="9" l="1"/>
  <c r="H8" i="9"/>
  <c r="I6" i="9"/>
  <c r="H6" i="9"/>
  <c r="I10" i="9"/>
  <c r="H10" i="9"/>
  <c r="I12" i="9"/>
  <c r="H12" i="9"/>
  <c r="I7" i="9"/>
  <c r="H7" i="9"/>
  <c r="I9" i="9"/>
  <c r="H9" i="9"/>
  <c r="I11" i="9"/>
  <c r="H11" i="9"/>
</calcChain>
</file>

<file path=xl/sharedStrings.xml><?xml version="1.0" encoding="utf-8"?>
<sst xmlns="http://schemas.openxmlformats.org/spreadsheetml/2006/main" count="284" uniqueCount="158">
  <si>
    <t>Synthetic BOF HCl dataset: modelling assumptions</t>
  </si>
  <si>
    <t>Input</t>
  </si>
  <si>
    <t>Value</t>
  </si>
  <si>
    <t>Unit</t>
  </si>
  <si>
    <t>Chemical basis</t>
  </si>
  <si>
    <t>Element fraction</t>
  </si>
  <si>
    <t>Element inventory (mg)</t>
  </si>
  <si>
    <t>Purpose</t>
  </si>
  <si>
    <t>BOF mass</t>
  </si>
  <si>
    <t>g</t>
  </si>
  <si>
    <t>Model basis</t>
  </si>
  <si>
    <t>Slag charge</t>
  </si>
  <si>
    <t>Leachate volume</t>
  </si>
  <si>
    <t>L</t>
  </si>
  <si>
    <t>Liquid basis</t>
  </si>
  <si>
    <t>CaO</t>
  </si>
  <si>
    <t>mass fraction</t>
  </si>
  <si>
    <t>Ca inventory</t>
  </si>
  <si>
    <t>Fe</t>
  </si>
  <si>
    <t>Elemental Fe</t>
  </si>
  <si>
    <t>Fe inventory</t>
  </si>
  <si>
    <t>MgO</t>
  </si>
  <si>
    <t>Mg inventory</t>
  </si>
  <si>
    <t>Al₂O₃</t>
  </si>
  <si>
    <t>Al inventory</t>
  </si>
  <si>
    <t>MnO</t>
  </si>
  <si>
    <t>Mn inventory</t>
  </si>
  <si>
    <t>Cr₂O₃</t>
  </si>
  <si>
    <t>Cr inventory</t>
  </si>
  <si>
    <t>Trial</t>
  </si>
  <si>
    <t>Ca recovery</t>
  </si>
  <si>
    <t>Fe recovery</t>
  </si>
  <si>
    <t>Mg recovery</t>
  </si>
  <si>
    <t>Al recovery</t>
  </si>
  <si>
    <t>Mn recovery</t>
  </si>
  <si>
    <t>Cr recovery</t>
  </si>
  <si>
    <t>BOF1</t>
  </si>
  <si>
    <t>BOF2</t>
  </si>
  <si>
    <t>BOF3</t>
  </si>
  <si>
    <t>BOF4</t>
  </si>
  <si>
    <t>BOF5</t>
  </si>
  <si>
    <t>BOF6</t>
  </si>
  <si>
    <t>Ca (mg L⁻¹)</t>
  </si>
  <si>
    <t>Fe (mg L⁻¹)</t>
  </si>
  <si>
    <t>Mg (mg L⁻¹)</t>
  </si>
  <si>
    <t>Al (mg L⁻¹)</t>
  </si>
  <si>
    <t>Mn (mg L⁻¹)</t>
  </si>
  <si>
    <t>Cr (mg L⁻¹)</t>
  </si>
  <si>
    <t>Ca extracted (mg)</t>
  </si>
  <si>
    <t>Fe extracted (mg)</t>
  </si>
  <si>
    <t>Mg extracted (mg)</t>
  </si>
  <si>
    <t>Al extracted (mg)</t>
  </si>
  <si>
    <t>Mn extracted (mg)</t>
  </si>
  <si>
    <t>Cr extracted (mg)</t>
  </si>
  <si>
    <t>Total major metals (mg L⁻¹)</t>
  </si>
  <si>
    <t>Synthetic BOF HCl recovery and selectivity</t>
  </si>
  <si>
    <t>Ca selectivity</t>
  </si>
  <si>
    <t>Ca/Fe ratio</t>
  </si>
  <si>
    <t>Maximum recovery</t>
  </si>
  <si>
    <t>BOF6 sequential pH-swing precipitation model</t>
  </si>
  <si>
    <t>Parameter</t>
  </si>
  <si>
    <t>Calculation definitions</t>
  </si>
  <si>
    <t>Selected extraction test</t>
  </si>
  <si>
    <t>Residual fraction of element i at stage j (%) = m(i,j) / m(i,initial) × 100</t>
  </si>
  <si>
    <t>Extraction conditions</t>
  </si>
  <si>
    <t>2 M HCl; 80°C; 60 min</t>
  </si>
  <si>
    <t>Cumulative precipitation of element i (%) = 100 − residual fraction</t>
  </si>
  <si>
    <t>Initial pH for pH swing</t>
  </si>
  <si>
    <t>Incremental precipitation at stage j (%) = residual fraction at stage j−1 − residual fraction at stage j</t>
  </si>
  <si>
    <t>Base</t>
  </si>
  <si>
    <t>1 M NaOH</t>
  </si>
  <si>
    <t>Predicted concentration (mg L⁻¹) = remaining elemental mass (mg) / current liquid volume (L)</t>
  </si>
  <si>
    <t>Sequential pH targets</t>
  </si>
  <si>
    <t>5, 6, 7, 8, 9 and 10</t>
  </si>
  <si>
    <t>Ca selectivity (%) = C(Ca) / [C(Ca)+C(Fe)+C(Mg)+C(Al)+C(Mn)+C(Cr)] × 100</t>
  </si>
  <si>
    <t>Separation</t>
  </si>
  <si>
    <t>Solid–liquid separation at every pH stage</t>
  </si>
  <si>
    <t>All calculations are formula-driven from the BOF6 baseline, the editable residual-fraction assumptions, and the optional cumulative NaOH volumes.</t>
  </si>
  <si>
    <t>Initial liquid basis</t>
  </si>
  <si>
    <t>150 mL model basis</t>
  </si>
  <si>
    <t>Stage</t>
  </si>
  <si>
    <t>pH</t>
  </si>
  <si>
    <t>Ca residual (%)</t>
  </si>
  <si>
    <t>Fe residual (%)</t>
  </si>
  <si>
    <t>Mg residual (%)</t>
  </si>
  <si>
    <t>Al residual (%)</t>
  </si>
  <si>
    <t>Mn residual (%)</t>
  </si>
  <si>
    <t>Cr residual (%)</t>
  </si>
  <si>
    <t>Si residual (%)</t>
  </si>
  <si>
    <t>Initial leachate</t>
  </si>
  <si>
    <t>Stage 1</t>
  </si>
  <si>
    <t>Stage 2</t>
  </si>
  <si>
    <t>Stage 3</t>
  </si>
  <si>
    <t>Stage 4</t>
  </si>
  <si>
    <t>Stage 5</t>
  </si>
  <si>
    <t>Stage 6</t>
  </si>
  <si>
    <t>Species</t>
  </si>
  <si>
    <t>Nominal precipitate</t>
  </si>
  <si>
    <t>pKsp</t>
  </si>
  <si>
    <t>Approximate removal window</t>
  </si>
  <si>
    <t>Role in this model</t>
  </si>
  <si>
    <t>Reaction</t>
  </si>
  <si>
    <t>Al³⁺</t>
  </si>
  <si>
    <t>Al(OH)₃</t>
  </si>
  <si>
    <t>pH 3.5–5</t>
  </si>
  <si>
    <t>Removed at pH 5</t>
  </si>
  <si>
    <t>Al³⁺ + 3OH⁻ → Al(OH)₃(s)</t>
  </si>
  <si>
    <t>Fe²⁺</t>
  </si>
  <si>
    <t>Fe(OH)₂</t>
  </si>
  <si>
    <t>pH 7–8</t>
  </si>
  <si>
    <t>Removed mainly by pH 8</t>
  </si>
  <si>
    <t>Fe²⁺ + 2OH⁻ → Fe(OH)₂(s)</t>
  </si>
  <si>
    <t>Mn²⁺</t>
  </si>
  <si>
    <t>Mn(OH)₂</t>
  </si>
  <si>
    <t>pH 8–9</t>
  </si>
  <si>
    <t>Removed mainly by pH 9</t>
  </si>
  <si>
    <t>Mn²⁺ + 2OH⁻ → Mn(OH)₂(s)</t>
  </si>
  <si>
    <t>Mg²⁺</t>
  </si>
  <si>
    <t>Mg(OH)₂</t>
  </si>
  <si>
    <t>pH 9–10</t>
  </si>
  <si>
    <t>Removed mainly by pH 10</t>
  </si>
  <si>
    <t>Mg²⁺ + 2OH⁻ → Mg(OH)₂(s)</t>
  </si>
  <si>
    <t>Ca²⁺</t>
  </si>
  <si>
    <t>Ca(OH)₂</t>
  </si>
  <si>
    <t>Above pH 10–12</t>
  </si>
  <si>
    <t>Partly retained at pH 10</t>
  </si>
  <si>
    <t>Ca²⁺ + 2OH⁻ ⇌ Ca(OH)₂(s)</t>
  </si>
  <si>
    <t>Si(IV)</t>
  </si>
  <si>
    <t>Hydrated amorphous silica</t>
  </si>
  <si>
    <t>nSi(OH)₄ → (SiO₂)ₙ·nH₂O + 2nH₂O</t>
  </si>
  <si>
    <t>Cumulative NaOH added (mL)</t>
  </si>
  <si>
    <t>Calculated liquid volume (L)</t>
  </si>
  <si>
    <t>Cumulative and incremental elemental precipitation</t>
  </si>
  <si>
    <t>Cumulative precipitation relative to the initial BOF6 leachate inventory</t>
  </si>
  <si>
    <t>Incremental precipitation occurring during each pH step</t>
  </si>
  <si>
    <t>Ca (%)</t>
  </si>
  <si>
    <t>Fe (%)</t>
  </si>
  <si>
    <t>Mg (%)</t>
  </si>
  <si>
    <t>Al (%)</t>
  </si>
  <si>
    <t>Mn (%)</t>
  </si>
  <si>
    <t>Cr (%)</t>
  </si>
  <si>
    <t>Si (%)</t>
  </si>
  <si>
    <t>BOF6 pH-swing model: impurity removal and calcium retention</t>
  </si>
  <si>
    <t>Ca retention</t>
  </si>
  <si>
    <t>Fe removal</t>
  </si>
  <si>
    <t>Mg removal</t>
  </si>
  <si>
    <t>Mn removal</t>
  </si>
  <si>
    <t>Combined impurity removal</t>
  </si>
  <si>
    <t>Ca concentration (mg L⁻¹)</t>
  </si>
  <si>
    <t>BOF HCl dataset</t>
  </si>
  <si>
    <t>Mass-balanced BOF HCl concentrations</t>
  </si>
  <si>
    <t>BOF HCl recovery and selectivity</t>
  </si>
  <si>
    <t xml:space="preserve">BOF6 sequential pH-swing precipitation </t>
  </si>
  <si>
    <t>Residual elemental fractions across the sequential pH swing</t>
  </si>
  <si>
    <t>elemental concentrations remaining in the BOF6 leachate</t>
  </si>
  <si>
    <t>BOF6 pH-swing: impurity removal and calcium retention</t>
  </si>
  <si>
    <t xml:space="preserve">At pH 5, the model removes Al and Si while retaining part of the divalent-metal inventory. Fe removal becomes nearly complete by pH 8, Mn removal by pH 9 and Mg removal by pH 10. The final pH 10 scenario retains 39.96% of the initial Ca. </t>
  </si>
  <si>
    <t xml:space="preserve">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</si>
</sst>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#,##0.0"/>
    <numFmt numFmtId="167" formatCode="0.0%"/>
    <numFmt numFmtId="168" formatCode="0.0"/>
  </numFmts>
  <fonts count="9">
    <font>
      <sz val="11"/>
      <name val="Carlito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7365D"/>
      <name val="Carlito"/>
    </font>
    <font>
      <b/>
      <sz val="11"/>
      <color rgb="FF17365D"/>
      <name val="Carlito"/>
    </font>
    <font>
      <b/>
      <sz val="11"/>
      <color rgb="FF375623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3CD"/>
      </patternFill>
    </fill>
    <fill>
      <patternFill patternType="solid">
        <fgColor rgb="FF237A84"/>
      </patternFill>
    </fill>
    <fill>
      <patternFill patternType="solid">
        <fgColor rgb="FFEAF3F5"/>
      </patternFill>
    </fill>
    <fill>
      <patternFill patternType="solid">
        <fgColor rgb="FFD9A441"/>
      </patternFill>
    </fill>
    <fill>
      <patternFill patternType="solid">
        <fgColor rgb="FFE8F5E9"/>
      </patternFill>
    </fill>
    <fill>
      <patternFill patternType="solid">
        <fgColor rgb="FF17365D"/>
      </patternFill>
    </fill>
    <fill>
      <patternFill patternType="solid">
        <fgColor rgb="FFF7FBFF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DF2"/>
      </patternFill>
    </fill>
    <fill>
      <patternFill patternType="solid">
        <fgColor rgb="FFE2F0D9"/>
      </patternFill>
    </fill>
  </fills>
  <borders count="30">
    <border>
      <left/>
      <right/>
      <top/>
      <bottom/>
      <diagonal/>
    </border>
    <border>
      <left style="thin">
        <color rgb="FFCBD5DC"/>
      </left>
      <right/>
      <top style="thin">
        <color rgb="FFCBD5DC"/>
      </top>
      <bottom style="thin">
        <color rgb="FFCBD5DC"/>
      </bottom>
      <diagonal/>
    </border>
    <border>
      <left/>
      <right/>
      <top style="thin">
        <color rgb="FFCBD5DC"/>
      </top>
      <bottom style="thin">
        <color rgb="FFCBD5DC"/>
      </bottom>
      <diagonal/>
    </border>
    <border>
      <left/>
      <right style="thin">
        <color rgb="FFCBD5DC"/>
      </right>
      <top style="thin">
        <color rgb="FFCBD5DC"/>
      </top>
      <bottom style="thin">
        <color rgb="FFCBD5DC"/>
      </bottom>
      <diagonal/>
    </border>
    <border>
      <left/>
      <right/>
      <top/>
      <bottom style="thin">
        <color rgb="FFE1E6EA"/>
      </bottom>
      <diagonal/>
    </border>
    <border>
      <left/>
      <right/>
      <top style="thin">
        <color rgb="FFE1E6EA"/>
      </top>
      <bottom style="thin">
        <color rgb="FFE1E6EA"/>
      </bottom>
      <diagonal/>
    </border>
    <border>
      <left/>
      <right/>
      <top style="thin">
        <color rgb="FFE1E6EA"/>
      </top>
      <bottom style="thin">
        <color rgb="FFCBD5DC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8" borderId="7" xfId="0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 applyAlignment="1">
      <alignment vertical="center"/>
    </xf>
    <xf numFmtId="0" fontId="0" fillId="0" borderId="12" xfId="0" applyNumberFormat="1" applyFont="1" applyFill="1" applyBorder="1" applyAlignment="1">
      <alignment vertical="center"/>
    </xf>
    <xf numFmtId="0" fontId="0" fillId="0" borderId="23" xfId="0" applyNumberFormat="1" applyFont="1" applyFill="1" applyBorder="1" applyAlignment="1">
      <alignment vertical="center"/>
    </xf>
    <xf numFmtId="0" fontId="0" fillId="0" borderId="24" xfId="0" applyNumberFormat="1" applyFont="1" applyFill="1" applyBorder="1" applyAlignment="1">
      <alignment vertical="center"/>
    </xf>
    <xf numFmtId="0" fontId="0" fillId="0" borderId="25" xfId="0" applyNumberFormat="1" applyFont="1" applyFill="1" applyBorder="1" applyAlignment="1">
      <alignment vertical="center"/>
    </xf>
    <xf numFmtId="168" fontId="0" fillId="0" borderId="23" xfId="0" applyNumberFormat="1" applyFont="1" applyFill="1" applyBorder="1" applyAlignment="1">
      <alignment vertical="center"/>
    </xf>
    <xf numFmtId="168" fontId="0" fillId="0" borderId="24" xfId="0" applyNumberFormat="1" applyFont="1" applyFill="1" applyBorder="1" applyAlignment="1">
      <alignment vertical="center"/>
    </xf>
    <xf numFmtId="168" fontId="0" fillId="0" borderId="25" xfId="0" applyNumberFormat="1" applyFont="1" applyFill="1" applyBorder="1" applyAlignment="1">
      <alignment vertical="center"/>
    </xf>
    <xf numFmtId="2" fontId="0" fillId="0" borderId="23" xfId="0" applyNumberFormat="1" applyFont="1" applyFill="1" applyBorder="1" applyAlignment="1">
      <alignment vertical="center"/>
    </xf>
    <xf numFmtId="2" fontId="0" fillId="0" borderId="24" xfId="0" applyNumberFormat="1" applyFont="1" applyFill="1" applyBorder="1" applyAlignment="1">
      <alignment vertical="center"/>
    </xf>
    <xf numFmtId="2" fontId="0" fillId="0" borderId="25" xfId="0" applyNumberFormat="1" applyFont="1" applyFill="1" applyBorder="1" applyAlignment="1">
      <alignment vertical="center"/>
    </xf>
    <xf numFmtId="2" fontId="0" fillId="12" borderId="23" xfId="0" applyNumberFormat="1" applyFont="1" applyFill="1" applyBorder="1" applyAlignment="1">
      <alignment vertical="center"/>
    </xf>
    <xf numFmtId="2" fontId="0" fillId="12" borderId="24" xfId="0" applyNumberFormat="1" applyFont="1" applyFill="1" applyBorder="1" applyAlignment="1">
      <alignment vertical="center"/>
    </xf>
    <xf numFmtId="2" fontId="0" fillId="12" borderId="25" xfId="0" applyNumberFormat="1" applyFont="1" applyFill="1" applyBorder="1" applyAlignment="1">
      <alignment vertical="center"/>
    </xf>
    <xf numFmtId="168" fontId="0" fillId="11" borderId="23" xfId="0" applyNumberFormat="1" applyFont="1" applyFill="1" applyBorder="1" applyAlignment="1">
      <alignment vertical="center"/>
    </xf>
    <xf numFmtId="168" fontId="0" fillId="11" borderId="24" xfId="0" applyNumberFormat="1" applyFont="1" applyFill="1" applyBorder="1" applyAlignment="1">
      <alignment vertical="center"/>
    </xf>
    <xf numFmtId="168" fontId="0" fillId="11" borderId="25" xfId="0" applyNumberFormat="1" applyFont="1" applyFill="1" applyBorder="1" applyAlignment="1">
      <alignment vertical="center"/>
    </xf>
    <xf numFmtId="164" fontId="0" fillId="0" borderId="23" xfId="0" applyNumberFormat="1" applyFont="1" applyFill="1" applyBorder="1" applyAlignment="1">
      <alignment vertical="center"/>
    </xf>
    <xf numFmtId="164" fontId="0" fillId="0" borderId="24" xfId="0" applyNumberFormat="1" applyFont="1" applyFill="1" applyBorder="1" applyAlignment="1">
      <alignment vertical="center"/>
    </xf>
    <xf numFmtId="164" fontId="0" fillId="0" borderId="25" xfId="0" applyNumberFormat="1" applyFont="1" applyFill="1" applyBorder="1" applyAlignment="1">
      <alignment vertical="center"/>
    </xf>
    <xf numFmtId="4" fontId="0" fillId="0" borderId="23" xfId="0" applyNumberFormat="1" applyFont="1" applyFill="1" applyBorder="1" applyAlignment="1">
      <alignment vertical="center"/>
    </xf>
    <xf numFmtId="4" fontId="0" fillId="0" borderId="9" xfId="0" applyNumberFormat="1" applyFont="1" applyFill="1" applyBorder="1" applyAlignment="1">
      <alignment vertical="center"/>
    </xf>
    <xf numFmtId="4" fontId="0" fillId="0" borderId="24" xfId="0" applyNumberFormat="1" applyFont="1" applyFill="1" applyBorder="1" applyAlignment="1">
      <alignment vertical="center"/>
    </xf>
    <xf numFmtId="4" fontId="0" fillId="0" borderId="11" xfId="0" applyNumberFormat="1" applyFont="1" applyFill="1" applyBorder="1" applyAlignment="1">
      <alignment vertical="center"/>
    </xf>
    <xf numFmtId="4" fontId="0" fillId="0" borderId="25" xfId="0" applyNumberFormat="1" applyFont="1" applyFill="1" applyBorder="1" applyAlignment="1">
      <alignment vertical="center"/>
    </xf>
    <xf numFmtId="4" fontId="0" fillId="0" borderId="13" xfId="0" applyNumberFormat="1" applyFont="1" applyFill="1" applyBorder="1" applyAlignment="1">
      <alignment vertical="center"/>
    </xf>
    <xf numFmtId="2" fontId="0" fillId="0" borderId="9" xfId="0" applyNumberFormat="1" applyFont="1" applyFill="1" applyBorder="1" applyAlignment="1">
      <alignment vertical="center"/>
    </xf>
    <xf numFmtId="2" fontId="0" fillId="0" borderId="11" xfId="0" applyNumberFormat="1" applyFont="1" applyFill="1" applyBorder="1" applyAlignment="1">
      <alignment vertical="center"/>
    </xf>
    <xf numFmtId="2" fontId="0" fillId="0" borderId="13" xfId="0" applyNumberFormat="1" applyFont="1" applyFill="1" applyBorder="1" applyAlignment="1">
      <alignment vertical="center"/>
    </xf>
    <xf numFmtId="10" fontId="0" fillId="0" borderId="23" xfId="0" applyNumberFormat="1" applyFont="1" applyFill="1" applyBorder="1" applyAlignment="1">
      <alignment vertical="center"/>
    </xf>
    <xf numFmtId="10" fontId="0" fillId="0" borderId="24" xfId="0" applyNumberFormat="1" applyFont="1" applyFill="1" applyBorder="1" applyAlignment="1">
      <alignment vertical="center"/>
    </xf>
    <xf numFmtId="10" fontId="0" fillId="0" borderId="25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4" fillId="8" borderId="0" xfId="0" applyNumberFormat="1" applyFont="1" applyFill="1" applyBorder="1" applyAlignment="1">
      <alignment horizontal="left" vertical="center"/>
    </xf>
    <xf numFmtId="0" fontId="5" fillId="8" borderId="7" xfId="0" applyNumberFormat="1" applyFont="1" applyFill="1" applyBorder="1" applyAlignment="1">
      <alignment horizontal="center" vertical="center" wrapText="1"/>
    </xf>
    <xf numFmtId="0" fontId="0" fillId="9" borderId="14" xfId="0" applyNumberFormat="1" applyFont="1" applyFill="1" applyBorder="1" applyAlignment="1">
      <alignment vertical="center" wrapText="1"/>
    </xf>
    <xf numFmtId="0" fontId="0" fillId="9" borderId="15" xfId="0" applyNumberFormat="1" applyFont="1" applyFill="1" applyBorder="1" applyAlignment="1">
      <alignment vertical="center" wrapText="1"/>
    </xf>
    <xf numFmtId="0" fontId="0" fillId="9" borderId="16" xfId="0" applyNumberFormat="1" applyFont="1" applyFill="1" applyBorder="1" applyAlignment="1">
      <alignment vertical="center" wrapText="1"/>
    </xf>
    <xf numFmtId="0" fontId="6" fillId="10" borderId="17" xfId="0" applyNumberFormat="1" applyFont="1" applyFill="1" applyBorder="1" applyAlignment="1">
      <alignment vertical="center" wrapText="1"/>
    </xf>
    <xf numFmtId="0" fontId="6" fillId="10" borderId="18" xfId="0" applyNumberFormat="1" applyFont="1" applyFill="1" applyBorder="1" applyAlignment="1">
      <alignment vertical="center" wrapText="1"/>
    </xf>
    <xf numFmtId="0" fontId="6" fillId="10" borderId="19" xfId="0" applyNumberFormat="1" applyFont="1" applyFill="1" applyBorder="1" applyAlignment="1">
      <alignment vertical="center" wrapText="1"/>
    </xf>
    <xf numFmtId="0" fontId="6" fillId="10" borderId="20" xfId="0" applyNumberFormat="1" applyFont="1" applyFill="1" applyBorder="1" applyAlignment="1">
      <alignment vertical="center" wrapText="1"/>
    </xf>
    <xf numFmtId="0" fontId="6" fillId="10" borderId="21" xfId="0" applyNumberFormat="1" applyFont="1" applyFill="1" applyBorder="1" applyAlignment="1">
      <alignment vertical="center" wrapText="1"/>
    </xf>
    <xf numFmtId="0" fontId="6" fillId="10" borderId="22" xfId="0" applyNumberFormat="1" applyFont="1" applyFill="1" applyBorder="1" applyAlignment="1">
      <alignment vertical="center" wrapText="1"/>
    </xf>
    <xf numFmtId="0" fontId="7" fillId="10" borderId="0" xfId="0" applyNumberFormat="1" applyFont="1" applyFill="1" applyBorder="1" applyAlignment="1">
      <alignment horizontal="center"/>
    </xf>
    <xf numFmtId="0" fontId="8" fillId="13" borderId="0" xfId="0" applyNumberFormat="1" applyFont="1" applyFill="1" applyBorder="1" applyAlignment="1">
      <alignment horizontal="center"/>
    </xf>
    <xf numFmtId="0" fontId="0" fillId="9" borderId="17" xfId="0" applyNumberFormat="1" applyFont="1" applyFill="1" applyBorder="1" applyAlignment="1">
      <alignment vertical="top" wrapText="1"/>
    </xf>
    <xf numFmtId="0" fontId="0" fillId="9" borderId="18" xfId="0" applyNumberFormat="1" applyFont="1" applyFill="1" applyBorder="1" applyAlignment="1">
      <alignment vertical="top" wrapText="1"/>
    </xf>
    <xf numFmtId="0" fontId="0" fillId="9" borderId="19" xfId="0" applyNumberFormat="1" applyFont="1" applyFill="1" applyBorder="1" applyAlignment="1">
      <alignment vertical="top" wrapText="1"/>
    </xf>
    <xf numFmtId="0" fontId="0" fillId="9" borderId="26" xfId="0" applyNumberFormat="1" applyFont="1" applyFill="1" applyBorder="1" applyAlignment="1">
      <alignment vertical="top" wrapText="1"/>
    </xf>
    <xf numFmtId="0" fontId="0" fillId="9" borderId="0" xfId="0" applyNumberFormat="1" applyFont="1" applyFill="1" applyAlignment="1">
      <alignment vertical="top" wrapText="1"/>
    </xf>
    <xf numFmtId="0" fontId="0" fillId="9" borderId="27" xfId="0" applyNumberFormat="1" applyFont="1" applyFill="1" applyBorder="1" applyAlignment="1">
      <alignment vertical="top" wrapText="1"/>
    </xf>
    <xf numFmtId="0" fontId="0" fillId="9" borderId="20" xfId="0" applyNumberFormat="1" applyFont="1" applyFill="1" applyBorder="1" applyAlignment="1">
      <alignment vertical="top" wrapText="1"/>
    </xf>
    <xf numFmtId="0" fontId="0" fillId="9" borderId="21" xfId="0" applyNumberFormat="1" applyFont="1" applyFill="1" applyBorder="1" applyAlignment="1">
      <alignment vertical="top" wrapText="1"/>
    </xf>
    <xf numFmtId="0" fontId="0" fillId="9" borderId="22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5" fontId="3" fillId="5" borderId="4" xfId="0" applyNumberFormat="1" applyFont="1" applyFill="1" applyBorder="1" applyAlignment="1">
      <alignment horizontal="center"/>
    </xf>
    <xf numFmtId="166" fontId="3" fillId="5" borderId="4" xfId="0" applyNumberFormat="1" applyFont="1" applyFill="1" applyBorder="1" applyAlignment="1">
      <alignment horizontal="center"/>
    </xf>
    <xf numFmtId="0" fontId="3" fillId="5" borderId="5" xfId="0" applyNumberFormat="1" applyFont="1" applyFill="1" applyBorder="1" applyAlignment="1">
      <alignment horizontal="center"/>
    </xf>
    <xf numFmtId="164" fontId="3" fillId="5" borderId="5" xfId="0" applyNumberFormat="1" applyFont="1" applyFill="1" applyBorder="1" applyAlignment="1">
      <alignment horizontal="center"/>
    </xf>
    <xf numFmtId="165" fontId="3" fillId="5" borderId="5" xfId="0" applyNumberFormat="1" applyFont="1" applyFill="1" applyBorder="1" applyAlignment="1">
      <alignment horizontal="center"/>
    </xf>
    <xf numFmtId="166" fontId="3" fillId="5" borderId="5" xfId="0" applyNumberFormat="1" applyFont="1" applyFill="1" applyBorder="1" applyAlignment="1">
      <alignment horizontal="center"/>
    </xf>
    <xf numFmtId="10" fontId="3" fillId="5" borderId="5" xfId="0" applyNumberFormat="1" applyFont="1" applyFill="1" applyBorder="1" applyAlignment="1">
      <alignment horizontal="center"/>
    </xf>
    <xf numFmtId="0" fontId="3" fillId="5" borderId="6" xfId="0" applyNumberFormat="1" applyFont="1" applyFill="1" applyBorder="1" applyAlignment="1">
      <alignment horizontal="center"/>
    </xf>
    <xf numFmtId="10" fontId="3" fillId="5" borderId="6" xfId="0" applyNumberFormat="1" applyFont="1" applyFill="1" applyBorder="1" applyAlignment="1">
      <alignment horizontal="center"/>
    </xf>
    <xf numFmtId="165" fontId="3" fillId="5" borderId="6" xfId="0" applyNumberFormat="1" applyFont="1" applyFill="1" applyBorder="1" applyAlignment="1">
      <alignment horizontal="center"/>
    </xf>
    <xf numFmtId="166" fontId="3" fillId="5" borderId="6" xfId="0" applyNumberFormat="1" applyFont="1" applyFill="1" applyBorder="1" applyAlignment="1">
      <alignment horizontal="center"/>
    </xf>
    <xf numFmtId="0" fontId="2" fillId="6" borderId="1" xfId="0" applyNumberFormat="1" applyFont="1" applyFill="1" applyBorder="1" applyAlignment="1">
      <alignment horizontal="center" vertical="center" wrapText="1"/>
    </xf>
    <xf numFmtId="0" fontId="2" fillId="6" borderId="2" xfId="0" applyNumberFormat="1" applyFont="1" applyFill="1" applyBorder="1" applyAlignment="1">
      <alignment horizontal="center" vertical="center" wrapText="1"/>
    </xf>
    <xf numFmtId="0" fontId="2" fillId="6" borderId="3" xfId="0" applyNumberFormat="1" applyFont="1" applyFill="1" applyBorder="1" applyAlignment="1">
      <alignment horizontal="center" vertical="center" wrapText="1"/>
    </xf>
    <xf numFmtId="0" fontId="3" fillId="3" borderId="4" xfId="0" applyNumberFormat="1" applyFont="1" applyFill="1" applyBorder="1" applyAlignment="1">
      <alignment horizontal="center"/>
    </xf>
    <xf numFmtId="167" fontId="3" fillId="3" borderId="4" xfId="0" applyNumberFormat="1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/>
    </xf>
    <xf numFmtId="167" fontId="3" fillId="3" borderId="5" xfId="0" applyNumberFormat="1" applyFont="1" applyFill="1" applyBorder="1" applyAlignment="1">
      <alignment horizontal="center"/>
    </xf>
    <xf numFmtId="0" fontId="3" fillId="3" borderId="6" xfId="0" applyNumberFormat="1" applyFont="1" applyFill="1" applyBorder="1" applyAlignment="1">
      <alignment horizontal="center"/>
    </xf>
    <xf numFmtId="167" fontId="3" fillId="3" borderId="6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NumberFormat="1" applyFont="1" applyFill="1" applyBorder="1" applyAlignment="1">
      <alignment horizontal="left" vertical="center"/>
    </xf>
    <xf numFmtId="0" fontId="3" fillId="7" borderId="4" xfId="0" applyNumberFormat="1" applyFont="1" applyFill="1" applyBorder="1" applyAlignment="1">
      <alignment horizontal="center"/>
    </xf>
    <xf numFmtId="166" fontId="3" fillId="7" borderId="4" xfId="0" applyNumberFormat="1" applyFont="1" applyFill="1" applyBorder="1" applyAlignment="1">
      <alignment horizontal="center"/>
    </xf>
    <xf numFmtId="0" fontId="3" fillId="7" borderId="5" xfId="0" applyNumberFormat="1" applyFont="1" applyFill="1" applyBorder="1" applyAlignment="1">
      <alignment horizontal="center"/>
    </xf>
    <xf numFmtId="166" fontId="3" fillId="7" borderId="5" xfId="0" applyNumberFormat="1" applyFont="1" applyFill="1" applyBorder="1" applyAlignment="1">
      <alignment horizontal="center"/>
    </xf>
    <xf numFmtId="0" fontId="3" fillId="7" borderId="6" xfId="0" applyNumberFormat="1" applyFont="1" applyFill="1" applyBorder="1" applyAlignment="1">
      <alignment horizontal="center"/>
    </xf>
    <xf numFmtId="166" fontId="3" fillId="7" borderId="6" xfId="0" applyNumberFormat="1" applyFont="1" applyFill="1" applyBorder="1" applyAlignment="1">
      <alignment horizontal="center"/>
    </xf>
    <xf numFmtId="167" fontId="3" fillId="7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167" fontId="3" fillId="7" borderId="5" xfId="0" applyNumberFormat="1" applyFont="1" applyFill="1" applyBorder="1" applyAlignment="1">
      <alignment horizontal="center"/>
    </xf>
    <xf numFmtId="164" fontId="3" fillId="7" borderId="5" xfId="0" applyNumberFormat="1" applyFont="1" applyFill="1" applyBorder="1" applyAlignment="1">
      <alignment horizontal="center"/>
    </xf>
    <xf numFmtId="167" fontId="3" fillId="7" borderId="6" xfId="0" applyNumberFormat="1" applyFont="1" applyFill="1" applyBorder="1" applyAlignment="1">
      <alignment horizontal="center"/>
    </xf>
    <xf numFmtId="164" fontId="3" fillId="7" borderId="6" xfId="0" applyNumberFormat="1" applyFont="1" applyFill="1" applyBorder="1" applyAlignment="1">
      <alignment horizontal="center"/>
    </xf>
    <xf numFmtId="0" fontId="5" fillId="8" borderId="29" xfId="0" applyNumberFormat="1" applyFont="1" applyFill="1" applyBorder="1" applyAlignment="1">
      <alignment horizontal="center" vertical="center" wrapText="1"/>
    </xf>
    <xf numFmtId="0" fontId="0" fillId="0" borderId="28" xfId="0" applyNumberFormat="1" applyFont="1" applyFill="1" applyBorder="1" applyAlignment="1">
      <alignment horizontal="left" vertical="center"/>
    </xf>
    <xf numFmtId="0" fontId="0" fillId="0" borderId="28" xfId="0" applyNumberFormat="1" applyFont="1" applyFill="1" applyBorder="1" applyAlignment="1">
      <alignment horizontal="center" vertical="center" wrapText="1"/>
    </xf>
    <xf numFmtId="168" fontId="0" fillId="0" borderId="2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0a0eed89da5b4bfe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Residual Fe, Al, Cr and Si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Fe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Adjustments'!$D$5:$D$11</c:f>
              <c:numCache>
                <c:formatCode>0.00</c:formatCode>
                <c:ptCount val="7"/>
                <c:pt idx="0">
                  <c:v>100</c:v>
                </c:pt>
                <c:pt idx="1">
                  <c:v>59.5</c:v>
                </c:pt>
                <c:pt idx="2">
                  <c:v>40.82</c:v>
                </c:pt>
                <c:pt idx="3">
                  <c:v>22.14</c:v>
                </c:pt>
                <c:pt idx="4">
                  <c:v>0.13</c:v>
                </c:pt>
                <c:pt idx="5">
                  <c:v>0.05</c:v>
                </c:pt>
                <c:pt idx="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B-4C68-BA9C-39339D91FE27}"/>
            </c:ext>
          </c:extLst>
        </c:ser>
        <c:ser>
          <c:idx val="1"/>
          <c:order val="1"/>
          <c:tx>
            <c:v>Al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Adjustments'!$F$5:$F$11</c:f>
              <c:numCache>
                <c:formatCode>0.00</c:formatCode>
                <c:ptCount val="7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B-4C68-BA9C-39339D91FE27}"/>
            </c:ext>
          </c:extLst>
        </c:ser>
        <c:ser>
          <c:idx val="2"/>
          <c:order val="2"/>
          <c:tx>
            <c:v>Cr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Adjustments'!$H$5:$H$11</c:f>
              <c:numCache>
                <c:formatCode>0.00</c:formatCode>
                <c:ptCount val="7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7B-4C68-BA9C-39339D91FE27}"/>
            </c:ext>
          </c:extLst>
        </c:ser>
        <c:ser>
          <c:idx val="3"/>
          <c:order val="3"/>
          <c:tx>
            <c:v>Si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Adjustments'!$I$5:$I$11</c:f>
              <c:numCache>
                <c:formatCode>0.00</c:formatCode>
                <c:ptCount val="7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7B-4C68-BA9C-39339D91F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Residual Ca, Mg and Mn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Adjustments'!$C$5:$C$11</c:f>
              <c:numCache>
                <c:formatCode>0.00</c:formatCode>
                <c:ptCount val="7"/>
                <c:pt idx="0">
                  <c:v>100</c:v>
                </c:pt>
                <c:pt idx="1">
                  <c:v>63</c:v>
                </c:pt>
                <c:pt idx="2">
                  <c:v>60.5</c:v>
                </c:pt>
                <c:pt idx="3">
                  <c:v>52.5</c:v>
                </c:pt>
                <c:pt idx="4">
                  <c:v>48.5</c:v>
                </c:pt>
                <c:pt idx="5">
                  <c:v>44.5</c:v>
                </c:pt>
                <c:pt idx="6">
                  <c:v>39.96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A2-4717-AB34-856646811B5A}"/>
            </c:ext>
          </c:extLst>
        </c:ser>
        <c:ser>
          <c:idx val="1"/>
          <c:order val="1"/>
          <c:tx>
            <c:v>Mg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Adjustments'!$E$5:$E$11</c:f>
              <c:numCache>
                <c:formatCode>0.00</c:formatCode>
                <c:ptCount val="7"/>
                <c:pt idx="0">
                  <c:v>100</c:v>
                </c:pt>
                <c:pt idx="1">
                  <c:v>63</c:v>
                </c:pt>
                <c:pt idx="2">
                  <c:v>60.5</c:v>
                </c:pt>
                <c:pt idx="3">
                  <c:v>52.5</c:v>
                </c:pt>
                <c:pt idx="4">
                  <c:v>48</c:v>
                </c:pt>
                <c:pt idx="5">
                  <c:v>30.05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A2-4717-AB34-856646811B5A}"/>
            </c:ext>
          </c:extLst>
        </c:ser>
        <c:ser>
          <c:idx val="2"/>
          <c:order val="2"/>
          <c:tx>
            <c:v>Mn</c:v>
          </c:tx>
          <c:marker>
            <c:symbol val="none"/>
          </c:marker>
          <c:cat>
            <c:numRef>
              <c:f>'pH Adjustments'!$B$5:$B$11</c:f>
              <c:numCache>
                <c:formatCode>0.0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Adjustments'!$G$5:$G$11</c:f>
              <c:numCache>
                <c:formatCode>0.00</c:formatCode>
                <c:ptCount val="7"/>
                <c:pt idx="0">
                  <c:v>100</c:v>
                </c:pt>
                <c:pt idx="1">
                  <c:v>62</c:v>
                </c:pt>
                <c:pt idx="2">
                  <c:v>58.5</c:v>
                </c:pt>
                <c:pt idx="3">
                  <c:v>51.5</c:v>
                </c:pt>
                <c:pt idx="4">
                  <c:v>33.18</c:v>
                </c:pt>
                <c:pt idx="5">
                  <c:v>0.5</c:v>
                </c:pt>
                <c:pt idx="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A2-4717-AB34-856646811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Calcium retention and selectivity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 retention</c:v>
          </c:tx>
          <c:marker>
            <c:symbol val="none"/>
          </c:marker>
          <c:cat>
            <c:numRef>
              <c:f>'pH Results'!$B$6:$B$12</c:f>
              <c:numCache>
                <c:formatCode>General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Results'!$C$6:$C$12</c:f>
              <c:numCache>
                <c:formatCode>0.00%</c:formatCode>
                <c:ptCount val="7"/>
                <c:pt idx="0">
                  <c:v>1</c:v>
                </c:pt>
                <c:pt idx="1">
                  <c:v>0.63</c:v>
                </c:pt>
                <c:pt idx="2">
                  <c:v>0.60499999999999998</c:v>
                </c:pt>
                <c:pt idx="3">
                  <c:v>0.52500000000000002</c:v>
                </c:pt>
                <c:pt idx="4">
                  <c:v>0.48499999999999999</c:v>
                </c:pt>
                <c:pt idx="5">
                  <c:v>0.44500000000000001</c:v>
                </c:pt>
                <c:pt idx="6">
                  <c:v>0.39960000000000001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0-457E-B4FF-F4B462111FB6}"/>
            </c:ext>
          </c:extLst>
        </c:ser>
        <c:ser>
          <c:idx val="1"/>
          <c:order val="1"/>
          <c:tx>
            <c:v>Ca selectivity</c:v>
          </c:tx>
          <c:marker>
            <c:symbol val="none"/>
          </c:marker>
          <c:cat>
            <c:numRef>
              <c:f>'pH Results'!$B$6:$B$12</c:f>
              <c:numCache>
                <c:formatCode>General</c:formatCode>
                <c:ptCount val="7"/>
                <c:pt idx="0">
                  <c:v>1.7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</c:numCache>
            </c:numRef>
          </c:cat>
          <c:val>
            <c:numRef>
              <c:f>'pH Results'!$H$6:$H$12</c:f>
              <c:numCache>
                <c:formatCode>0.00%</c:formatCode>
                <c:ptCount val="7"/>
                <c:pt idx="0">
                  <c:v>0.68059054947255937</c:v>
                </c:pt>
                <c:pt idx="1">
                  <c:v>0.69908040799227289</c:v>
                </c:pt>
                <c:pt idx="2">
                  <c:v>0.74805209638999826</c:v>
                </c:pt>
                <c:pt idx="3">
                  <c:v>0.7994828315770679</c:v>
                </c:pt>
                <c:pt idx="4">
                  <c:v>0.91880062676425411</c:v>
                </c:pt>
                <c:pt idx="5">
                  <c:v>0.96873960065137243</c:v>
                </c:pt>
                <c:pt idx="6">
                  <c:v>0.99909826531249801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0-457E-B4FF-F4B46211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1295400</xdr:colOff>
      <xdr:row>38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42A6F1E-B162-40CA-7805-C4E405A3A1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bbas Rajaei" id="{4233D791-5FD4-4F06-BBDC-CFA9286D063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2" dT="2026-08-12T18:05:46.451" personId="{4233D791-5FD4-4F06-BBDC-CFA9286D0635}" id="{BA85F48F-A522-CF3F-C046-612B26D1CB16}">
    <xltc:text>This file contains synthetic model outputs only. It intentionally excludes the user-supplied ICP measurements.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8c81d462b9c24152" Type="http://schemas.microsoft.com/office/2017/10/relationships/threadedComment" Target="../threadedcomments/threadedcomment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workbookViewId="0">
      <selection activeCell="I23" sqref="I23"/>
    </sheetView>
  </sheetViews>
  <sheetFormatPr defaultRowHeight="13.8"/>
  <cols>
    <col min="1" max="1" width="18" customWidth="1"/>
    <col min="2" max="2" width="14" customWidth="1"/>
    <col min="3" max="5" width="17" customWidth="1"/>
    <col min="6" max="6" width="22" customWidth="1"/>
    <col min="7" max="7" width="20" customWidth="1"/>
  </cols>
  <sheetData>
    <row r="1" spans="1:7" ht="30" customHeight="1">
      <c r="A1" s="35" t="s">
        <v>149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</row>
    <row r="3" spans="1:7" ht="36" customHeight="1">
      <c r="A3" s="58" t="s">
        <v>1</v>
      </c>
      <c r="B3" s="59" t="s">
        <v>2</v>
      </c>
      <c r="C3" s="59" t="s">
        <v>3</v>
      </c>
      <c r="D3" s="59" t="s">
        <v>4</v>
      </c>
      <c r="E3" s="59" t="s">
        <v>5</v>
      </c>
      <c r="F3" s="59" t="s">
        <v>6</v>
      </c>
      <c r="G3" s="60" t="s">
        <v>7</v>
      </c>
    </row>
    <row r="4" spans="1:7">
      <c r="A4" s="61" t="s">
        <v>8</v>
      </c>
      <c r="B4" s="62">
        <v>10</v>
      </c>
      <c r="C4" s="61" t="s">
        <v>9</v>
      </c>
      <c r="D4" s="61" t="s">
        <v>10</v>
      </c>
      <c r="E4" s="63">
        <v>1</v>
      </c>
      <c r="F4" s="64">
        <f>B4*1000</f>
        <v>10000</v>
      </c>
      <c r="G4" s="61" t="s">
        <v>11</v>
      </c>
    </row>
    <row r="5" spans="1:7">
      <c r="A5" s="65" t="s">
        <v>12</v>
      </c>
      <c r="B5" s="66">
        <v>0.15</v>
      </c>
      <c r="C5" s="65" t="s">
        <v>13</v>
      </c>
      <c r="D5" s="65" t="s">
        <v>10</v>
      </c>
      <c r="E5" s="67">
        <v>1</v>
      </c>
      <c r="F5" s="68">
        <f>B5*1000</f>
        <v>150</v>
      </c>
      <c r="G5" s="65" t="s">
        <v>14</v>
      </c>
    </row>
    <row r="6" spans="1:7">
      <c r="A6" s="65" t="s">
        <v>15</v>
      </c>
      <c r="B6" s="69">
        <v>0.51790000000000003</v>
      </c>
      <c r="C6" s="65" t="s">
        <v>16</v>
      </c>
      <c r="D6" s="65" t="s">
        <v>15</v>
      </c>
      <c r="E6" s="67">
        <v>0.71469586461472623</v>
      </c>
      <c r="F6" s="68">
        <f t="shared" ref="F6:F11" si="0">$B$4*1000*B6*E6</f>
        <v>3701.4098828396673</v>
      </c>
      <c r="G6" s="65" t="s">
        <v>17</v>
      </c>
    </row>
    <row r="7" spans="1:7">
      <c r="A7" s="65" t="s">
        <v>18</v>
      </c>
      <c r="B7" s="69">
        <v>0.1865</v>
      </c>
      <c r="C7" s="65" t="s">
        <v>16</v>
      </c>
      <c r="D7" s="65" t="s">
        <v>19</v>
      </c>
      <c r="E7" s="67">
        <v>1</v>
      </c>
      <c r="F7" s="68">
        <f t="shared" si="0"/>
        <v>1865</v>
      </c>
      <c r="G7" s="65" t="s">
        <v>20</v>
      </c>
    </row>
    <row r="8" spans="1:7">
      <c r="A8" s="65" t="s">
        <v>21</v>
      </c>
      <c r="B8" s="69">
        <v>3.9699999999999999E-2</v>
      </c>
      <c r="C8" s="65" t="s">
        <v>16</v>
      </c>
      <c r="D8" s="65" t="s">
        <v>21</v>
      </c>
      <c r="E8" s="67">
        <v>0.6030418816990869</v>
      </c>
      <c r="F8" s="68">
        <f t="shared" si="0"/>
        <v>239.40762703453751</v>
      </c>
      <c r="G8" s="65" t="s">
        <v>22</v>
      </c>
    </row>
    <row r="9" spans="1:7">
      <c r="A9" s="65" t="s">
        <v>23</v>
      </c>
      <c r="B9" s="69">
        <v>1.8499999999999999E-2</v>
      </c>
      <c r="C9" s="65" t="s">
        <v>16</v>
      </c>
      <c r="D9" s="65" t="s">
        <v>23</v>
      </c>
      <c r="E9" s="67">
        <v>0.52925692670867641</v>
      </c>
      <c r="F9" s="68">
        <f t="shared" si="0"/>
        <v>97.912531441105131</v>
      </c>
      <c r="G9" s="65" t="s">
        <v>24</v>
      </c>
    </row>
    <row r="10" spans="1:7">
      <c r="A10" s="65" t="s">
        <v>25</v>
      </c>
      <c r="B10" s="69">
        <v>3.7900000000000003E-2</v>
      </c>
      <c r="C10" s="65" t="s">
        <v>16</v>
      </c>
      <c r="D10" s="65" t="s">
        <v>25</v>
      </c>
      <c r="E10" s="67">
        <v>0.77446198632127949</v>
      </c>
      <c r="F10" s="68">
        <f t="shared" si="0"/>
        <v>293.52109281576497</v>
      </c>
      <c r="G10" s="65" t="s">
        <v>26</v>
      </c>
    </row>
    <row r="11" spans="1:7">
      <c r="A11" s="70" t="s">
        <v>27</v>
      </c>
      <c r="B11" s="71">
        <v>3.0999999999999999E-3</v>
      </c>
      <c r="C11" s="70" t="s">
        <v>16</v>
      </c>
      <c r="D11" s="70" t="s">
        <v>27</v>
      </c>
      <c r="E11" s="72">
        <v>0.68420782529284985</v>
      </c>
      <c r="F11" s="73">
        <f t="shared" si="0"/>
        <v>21.210442584078343</v>
      </c>
      <c r="G11" s="70" t="s">
        <v>28</v>
      </c>
    </row>
    <row r="14" spans="1:7">
      <c r="A14" s="74" t="s">
        <v>29</v>
      </c>
      <c r="B14" s="75" t="s">
        <v>30</v>
      </c>
      <c r="C14" s="75" t="s">
        <v>31</v>
      </c>
      <c r="D14" s="75" t="s">
        <v>32</v>
      </c>
      <c r="E14" s="75" t="s">
        <v>33</v>
      </c>
      <c r="F14" s="75" t="s">
        <v>34</v>
      </c>
      <c r="G14" s="76" t="s">
        <v>35</v>
      </c>
    </row>
    <row r="15" spans="1:7">
      <c r="A15" s="77" t="s">
        <v>36</v>
      </c>
      <c r="B15" s="78">
        <v>0.75600000000000001</v>
      </c>
      <c r="C15" s="78">
        <v>0.35</v>
      </c>
      <c r="D15" s="78">
        <v>0.4</v>
      </c>
      <c r="E15" s="78">
        <v>0.3</v>
      </c>
      <c r="F15" s="78">
        <v>0.45</v>
      </c>
      <c r="G15" s="78">
        <v>0.2</v>
      </c>
    </row>
    <row r="16" spans="1:7">
      <c r="A16" s="79" t="s">
        <v>37</v>
      </c>
      <c r="B16" s="80">
        <v>0.69</v>
      </c>
      <c r="C16" s="80">
        <v>0.38</v>
      </c>
      <c r="D16" s="80">
        <v>0.42</v>
      </c>
      <c r="E16" s="80">
        <v>0.33</v>
      </c>
      <c r="F16" s="80">
        <v>0.47</v>
      </c>
      <c r="G16" s="80">
        <v>0.25</v>
      </c>
    </row>
    <row r="17" spans="1:7">
      <c r="A17" s="79" t="s">
        <v>38</v>
      </c>
      <c r="B17" s="80">
        <v>0.82</v>
      </c>
      <c r="C17" s="80">
        <v>0.55000000000000004</v>
      </c>
      <c r="D17" s="80">
        <v>0.57999999999999996</v>
      </c>
      <c r="E17" s="80">
        <v>0.48</v>
      </c>
      <c r="F17" s="80">
        <v>0.63</v>
      </c>
      <c r="G17" s="80">
        <v>0.4</v>
      </c>
    </row>
    <row r="18" spans="1:7">
      <c r="A18" s="79" t="s">
        <v>39</v>
      </c>
      <c r="B18" s="80">
        <v>0.70599999999999996</v>
      </c>
      <c r="C18" s="80">
        <v>0.33</v>
      </c>
      <c r="D18" s="80">
        <v>0.38</v>
      </c>
      <c r="E18" s="80">
        <v>0.28000000000000003</v>
      </c>
      <c r="F18" s="80">
        <v>0.42</v>
      </c>
      <c r="G18" s="80">
        <v>0.22</v>
      </c>
    </row>
    <row r="19" spans="1:7">
      <c r="A19" s="79" t="s">
        <v>40</v>
      </c>
      <c r="B19" s="80">
        <v>0.60199999999999998</v>
      </c>
      <c r="C19" s="80">
        <v>0.28000000000000003</v>
      </c>
      <c r="D19" s="80">
        <v>0.34</v>
      </c>
      <c r="E19" s="80">
        <v>0.25</v>
      </c>
      <c r="F19" s="80">
        <v>0.36</v>
      </c>
      <c r="G19" s="80">
        <v>0.18</v>
      </c>
    </row>
    <row r="20" spans="1:7">
      <c r="A20" s="81" t="s">
        <v>41</v>
      </c>
      <c r="B20" s="82">
        <v>0.91</v>
      </c>
      <c r="C20" s="82">
        <v>0.62</v>
      </c>
      <c r="D20" s="82">
        <v>0.65</v>
      </c>
      <c r="E20" s="82">
        <v>0.55000000000000004</v>
      </c>
      <c r="F20" s="82">
        <v>0.7</v>
      </c>
      <c r="G20" s="82">
        <v>0.45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showGridLines="0" tabSelected="1" workbookViewId="0">
      <selection activeCell="D16" sqref="D16"/>
    </sheetView>
  </sheetViews>
  <sheetFormatPr defaultRowHeight="13.8"/>
  <cols>
    <col min="1" max="1" width="12" customWidth="1"/>
    <col min="2" max="14" width="17" customWidth="1"/>
    <col min="15" max="15" width="20" customWidth="1"/>
  </cols>
  <sheetData>
    <row r="1" spans="1:14" ht="30" customHeight="1">
      <c r="A1" s="84" t="s">
        <v>150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3" spans="1:14" s="83" customFormat="1" ht="42" customHeight="1">
      <c r="A3" s="58" t="s">
        <v>29</v>
      </c>
      <c r="B3" s="59" t="s">
        <v>42</v>
      </c>
      <c r="C3" s="59" t="s">
        <v>43</v>
      </c>
      <c r="D3" s="59" t="s">
        <v>44</v>
      </c>
      <c r="E3" s="59" t="s">
        <v>45</v>
      </c>
      <c r="F3" s="59" t="s">
        <v>46</v>
      </c>
      <c r="G3" s="59" t="s">
        <v>47</v>
      </c>
      <c r="H3" s="59" t="s">
        <v>48</v>
      </c>
      <c r="I3" s="59" t="s">
        <v>49</v>
      </c>
      <c r="J3" s="59" t="s">
        <v>50</v>
      </c>
      <c r="K3" s="59" t="s">
        <v>51</v>
      </c>
      <c r="L3" s="59" t="s">
        <v>52</v>
      </c>
      <c r="M3" s="59" t="s">
        <v>53</v>
      </c>
      <c r="N3" s="59" t="s">
        <v>54</v>
      </c>
    </row>
    <row r="4" spans="1:14" s="83" customFormat="1">
      <c r="A4" s="85" t="str">
        <f>'BOF Dataset'!A15</f>
        <v>BOF1</v>
      </c>
      <c r="B4" s="86">
        <f>('BOF Dataset'!$F$6*'BOF Dataset'!B15)/'BOF Dataset'!$B$5</f>
        <v>18655.105809511926</v>
      </c>
      <c r="C4" s="86">
        <f>('BOF Dataset'!$F$7*'BOF Dataset'!C15)/'BOF Dataset'!$B$5</f>
        <v>4351.666666666667</v>
      </c>
      <c r="D4" s="86">
        <f>('BOF Dataset'!$F$8*'BOF Dataset'!D15)/'BOF Dataset'!$B$5</f>
        <v>638.42033875876677</v>
      </c>
      <c r="E4" s="86">
        <f>('BOF Dataset'!$F$9*'BOF Dataset'!E15)/'BOF Dataset'!$B$5</f>
        <v>195.82506288221026</v>
      </c>
      <c r="F4" s="86">
        <f>('BOF Dataset'!$F$10*'BOF Dataset'!F15)/'BOF Dataset'!$B$5</f>
        <v>880.56327844729503</v>
      </c>
      <c r="G4" s="86">
        <f>('BOF Dataset'!$F$11*'BOF Dataset'!G15)/'BOF Dataset'!$B$5</f>
        <v>28.280590112104463</v>
      </c>
      <c r="H4" s="86">
        <f>B4*'BOF Dataset'!$B$5</f>
        <v>2798.2658714267886</v>
      </c>
      <c r="I4" s="86">
        <f>C4*'BOF Dataset'!$B$5</f>
        <v>652.75</v>
      </c>
      <c r="J4" s="86">
        <f>D4*'BOF Dataset'!$B$5</f>
        <v>95.763050813815013</v>
      </c>
      <c r="K4" s="86">
        <f>E4*'BOF Dataset'!$B$5</f>
        <v>29.373759432331539</v>
      </c>
      <c r="L4" s="86">
        <f>F4*'BOF Dataset'!$B$5</f>
        <v>132.08449176709425</v>
      </c>
      <c r="M4" s="86">
        <f>G4*'BOF Dataset'!$B$5</f>
        <v>4.2420885168156692</v>
      </c>
      <c r="N4" s="86">
        <f t="shared" ref="N4:N9" si="0">SUM(B4:G4)</f>
        <v>24749.861746378967</v>
      </c>
    </row>
    <row r="5" spans="1:14" s="83" customFormat="1">
      <c r="A5" s="87" t="str">
        <f>'BOF Dataset'!A16</f>
        <v>BOF2</v>
      </c>
      <c r="B5" s="88">
        <f>('BOF Dataset'!$F$6*'BOF Dataset'!B16)/'BOF Dataset'!$B$5</f>
        <v>17026.485461062472</v>
      </c>
      <c r="C5" s="88">
        <f>('BOF Dataset'!$F$7*'BOF Dataset'!C16)/'BOF Dataset'!$B$5</f>
        <v>4724.666666666667</v>
      </c>
      <c r="D5" s="88">
        <f>('BOF Dataset'!$F$8*'BOF Dataset'!D16)/'BOF Dataset'!$B$5</f>
        <v>670.34135569670502</v>
      </c>
      <c r="E5" s="88">
        <f>('BOF Dataset'!$F$9*'BOF Dataset'!E16)/'BOF Dataset'!$B$5</f>
        <v>215.40756917043132</v>
      </c>
      <c r="F5" s="88">
        <f>('BOF Dataset'!$F$10*'BOF Dataset'!F16)/'BOF Dataset'!$B$5</f>
        <v>919.69942415606363</v>
      </c>
      <c r="G5" s="88">
        <f>('BOF Dataset'!$F$11*'BOF Dataset'!G16)/'BOF Dataset'!$B$5</f>
        <v>35.350737640130575</v>
      </c>
      <c r="H5" s="88">
        <f>B5*'BOF Dataset'!$B$5</f>
        <v>2553.9728191593708</v>
      </c>
      <c r="I5" s="88">
        <f>C5*'BOF Dataset'!$B$5</f>
        <v>708.7</v>
      </c>
      <c r="J5" s="88">
        <f>D5*'BOF Dataset'!$B$5</f>
        <v>100.55120335450574</v>
      </c>
      <c r="K5" s="88">
        <f>E5*'BOF Dataset'!$B$5</f>
        <v>32.311135375564696</v>
      </c>
      <c r="L5" s="88">
        <f>F5*'BOF Dataset'!$B$5</f>
        <v>137.95491362340954</v>
      </c>
      <c r="M5" s="88">
        <f>G5*'BOF Dataset'!$B$5</f>
        <v>5.3026106460195859</v>
      </c>
      <c r="N5" s="88">
        <f t="shared" si="0"/>
        <v>23591.951214392473</v>
      </c>
    </row>
    <row r="6" spans="1:14" s="83" customFormat="1">
      <c r="A6" s="87" t="str">
        <f>'BOF Dataset'!A17</f>
        <v>BOF3</v>
      </c>
      <c r="B6" s="88">
        <f>('BOF Dataset'!$F$6*'BOF Dataset'!B17)/'BOF Dataset'!$B$5</f>
        <v>20234.37402619018</v>
      </c>
      <c r="C6" s="88">
        <f>('BOF Dataset'!$F$7*'BOF Dataset'!C17)/'BOF Dataset'!$B$5</f>
        <v>6838.3333333333339</v>
      </c>
      <c r="D6" s="88">
        <f>('BOF Dataset'!$F$8*'BOF Dataset'!D17)/'BOF Dataset'!$B$5</f>
        <v>925.70949120021169</v>
      </c>
      <c r="E6" s="88">
        <f>('BOF Dataset'!$F$9*'BOF Dataset'!E17)/'BOF Dataset'!$B$5</f>
        <v>313.32010061153642</v>
      </c>
      <c r="F6" s="88">
        <f>('BOF Dataset'!$F$10*'BOF Dataset'!F17)/'BOF Dataset'!$B$5</f>
        <v>1232.788589826213</v>
      </c>
      <c r="G6" s="88">
        <f>('BOF Dataset'!$F$11*'BOF Dataset'!G17)/'BOF Dataset'!$B$5</f>
        <v>56.561180224208925</v>
      </c>
      <c r="H6" s="88">
        <f>B6*'BOF Dataset'!$B$5</f>
        <v>3035.156103928527</v>
      </c>
      <c r="I6" s="88">
        <f>C6*'BOF Dataset'!$B$5</f>
        <v>1025.75</v>
      </c>
      <c r="J6" s="88">
        <f>D6*'BOF Dataset'!$B$5</f>
        <v>138.85642368003175</v>
      </c>
      <c r="K6" s="88">
        <f>E6*'BOF Dataset'!$B$5</f>
        <v>46.998015091730458</v>
      </c>
      <c r="L6" s="88">
        <f>F6*'BOF Dataset'!$B$5</f>
        <v>184.91828847393194</v>
      </c>
      <c r="M6" s="88">
        <f>G6*'BOF Dataset'!$B$5</f>
        <v>8.4841770336313385</v>
      </c>
      <c r="N6" s="88">
        <f t="shared" si="0"/>
        <v>29601.086721385684</v>
      </c>
    </row>
    <row r="7" spans="1:14" s="83" customFormat="1">
      <c r="A7" s="87" t="str">
        <f>'BOF Dataset'!A18</f>
        <v>BOF4</v>
      </c>
      <c r="B7" s="88">
        <f>('BOF Dataset'!$F$6*'BOF Dataset'!B18)/'BOF Dataset'!$B$5</f>
        <v>17421.302515232033</v>
      </c>
      <c r="C7" s="88">
        <f>('BOF Dataset'!$F$7*'BOF Dataset'!C18)/'BOF Dataset'!$B$5</f>
        <v>4103.0000000000009</v>
      </c>
      <c r="D7" s="88">
        <f>('BOF Dataset'!$F$8*'BOF Dataset'!D18)/'BOF Dataset'!$B$5</f>
        <v>606.49932182082841</v>
      </c>
      <c r="E7" s="88">
        <f>('BOF Dataset'!$F$9*'BOF Dataset'!E18)/'BOF Dataset'!$B$5</f>
        <v>182.77005869006294</v>
      </c>
      <c r="F7" s="88">
        <f>('BOF Dataset'!$F$10*'BOF Dataset'!F18)/'BOF Dataset'!$B$5</f>
        <v>821.85905988414197</v>
      </c>
      <c r="G7" s="88">
        <f>('BOF Dataset'!$F$11*'BOF Dataset'!G18)/'BOF Dataset'!$B$5</f>
        <v>31.108649123314905</v>
      </c>
      <c r="H7" s="88">
        <f>B7*'BOF Dataset'!$B$5</f>
        <v>2613.1953772848051</v>
      </c>
      <c r="I7" s="88">
        <f>C7*'BOF Dataset'!$B$5</f>
        <v>615.45000000000016</v>
      </c>
      <c r="J7" s="88">
        <f>D7*'BOF Dataset'!$B$5</f>
        <v>90.974898273124253</v>
      </c>
      <c r="K7" s="88">
        <f>E7*'BOF Dataset'!$B$5</f>
        <v>27.415508803509439</v>
      </c>
      <c r="L7" s="88">
        <f>F7*'BOF Dataset'!$B$5</f>
        <v>123.27885898262129</v>
      </c>
      <c r="M7" s="88">
        <f>G7*'BOF Dataset'!$B$5</f>
        <v>4.6662973684972355</v>
      </c>
      <c r="N7" s="88">
        <f t="shared" si="0"/>
        <v>23166.539604750382</v>
      </c>
    </row>
    <row r="8" spans="1:14" s="83" customFormat="1">
      <c r="A8" s="87" t="str">
        <f>'BOF Dataset'!A19</f>
        <v>BOF5</v>
      </c>
      <c r="B8" s="88">
        <f>('BOF Dataset'!$F$6*'BOF Dataset'!B19)/'BOF Dataset'!$B$5</f>
        <v>14854.991663129866</v>
      </c>
      <c r="C8" s="88">
        <f>('BOF Dataset'!$F$7*'BOF Dataset'!C19)/'BOF Dataset'!$B$5</f>
        <v>3481.3333333333339</v>
      </c>
      <c r="D8" s="88">
        <f>('BOF Dataset'!$F$8*'BOF Dataset'!D19)/'BOF Dataset'!$B$5</f>
        <v>542.6572879449518</v>
      </c>
      <c r="E8" s="88">
        <f>('BOF Dataset'!$F$9*'BOF Dataset'!E19)/'BOF Dataset'!$B$5</f>
        <v>163.18755240184188</v>
      </c>
      <c r="F8" s="88">
        <f>('BOF Dataset'!$F$10*'BOF Dataset'!F19)/'BOF Dataset'!$B$5</f>
        <v>704.45062275783596</v>
      </c>
      <c r="G8" s="88">
        <f>('BOF Dataset'!$F$11*'BOF Dataset'!G19)/'BOF Dataset'!$B$5</f>
        <v>25.45253110089401</v>
      </c>
      <c r="H8" s="88">
        <f>B8*'BOF Dataset'!$B$5</f>
        <v>2228.2487494694797</v>
      </c>
      <c r="I8" s="88">
        <f>C8*'BOF Dataset'!$B$5</f>
        <v>522.20000000000005</v>
      </c>
      <c r="J8" s="88">
        <f>D8*'BOF Dataset'!$B$5</f>
        <v>81.398593191742762</v>
      </c>
      <c r="K8" s="88">
        <f>E8*'BOF Dataset'!$B$5</f>
        <v>24.478132860276283</v>
      </c>
      <c r="L8" s="88">
        <f>F8*'BOF Dataset'!$B$5</f>
        <v>105.66759341367539</v>
      </c>
      <c r="M8" s="88">
        <f>G8*'BOF Dataset'!$B$5</f>
        <v>3.8178796651341012</v>
      </c>
      <c r="N8" s="88">
        <f t="shared" si="0"/>
        <v>19772.072990668723</v>
      </c>
    </row>
    <row r="9" spans="1:14" s="83" customFormat="1">
      <c r="A9" s="89" t="str">
        <f>'BOF Dataset'!A20</f>
        <v>BOF6</v>
      </c>
      <c r="B9" s="90">
        <f>('BOF Dataset'!$F$6*'BOF Dataset'!B20)/'BOF Dataset'!$B$5</f>
        <v>22455.219955893983</v>
      </c>
      <c r="C9" s="90">
        <f>('BOF Dataset'!$F$7*'BOF Dataset'!C20)/'BOF Dataset'!$B$5</f>
        <v>7708.666666666667</v>
      </c>
      <c r="D9" s="90">
        <f>('BOF Dataset'!$F$8*'BOF Dataset'!D20)/'BOF Dataset'!$B$5</f>
        <v>1037.4330504829959</v>
      </c>
      <c r="E9" s="90">
        <f>('BOF Dataset'!$F$9*'BOF Dataset'!E20)/'BOF Dataset'!$B$5</f>
        <v>359.01261528405223</v>
      </c>
      <c r="F9" s="90">
        <f>('BOF Dataset'!$F$10*'BOF Dataset'!F20)/'BOF Dataset'!$B$5</f>
        <v>1369.7650998069032</v>
      </c>
      <c r="G9" s="90">
        <f>('BOF Dataset'!$F$11*'BOF Dataset'!G20)/'BOF Dataset'!$B$5</f>
        <v>63.63132775223503</v>
      </c>
      <c r="H9" s="90">
        <f>B9*'BOF Dataset'!$B$5</f>
        <v>3368.2829933840972</v>
      </c>
      <c r="I9" s="90">
        <f>C9*'BOF Dataset'!$B$5</f>
        <v>1156.3</v>
      </c>
      <c r="J9" s="90">
        <f>D9*'BOF Dataset'!$B$5</f>
        <v>155.61495757244938</v>
      </c>
      <c r="K9" s="90">
        <f>E9*'BOF Dataset'!$B$5</f>
        <v>53.851892292607836</v>
      </c>
      <c r="L9" s="90">
        <f>F9*'BOF Dataset'!$B$5</f>
        <v>205.46476497103546</v>
      </c>
      <c r="M9" s="90">
        <f>G9*'BOF Dataset'!$B$5</f>
        <v>9.5446991628352542</v>
      </c>
      <c r="N9" s="90">
        <f t="shared" si="0"/>
        <v>32993.728715886835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showGridLines="0" workbookViewId="0">
      <selection activeCell="E19" sqref="E19"/>
    </sheetView>
  </sheetViews>
  <sheetFormatPr defaultRowHeight="13.8"/>
  <cols>
    <col min="1" max="1" width="12" customWidth="1"/>
    <col min="2" max="10" width="16" customWidth="1"/>
  </cols>
  <sheetData>
    <row r="1" spans="1:10" ht="30" customHeight="1">
      <c r="A1" s="35" t="s">
        <v>151</v>
      </c>
      <c r="B1" s="35" t="s">
        <v>55</v>
      </c>
      <c r="C1" s="35" t="s">
        <v>55</v>
      </c>
      <c r="D1" s="35" t="s">
        <v>55</v>
      </c>
      <c r="E1" s="35" t="s">
        <v>55</v>
      </c>
      <c r="F1" s="35" t="s">
        <v>55</v>
      </c>
      <c r="G1" s="35" t="s">
        <v>55</v>
      </c>
      <c r="H1" s="35" t="s">
        <v>55</v>
      </c>
      <c r="I1" s="35" t="s">
        <v>55</v>
      </c>
      <c r="J1" s="35" t="s">
        <v>55</v>
      </c>
    </row>
    <row r="5" spans="1:10" s="83" customFormat="1" ht="37.950000000000003" customHeight="1">
      <c r="A5" s="58" t="s">
        <v>29</v>
      </c>
      <c r="B5" s="59" t="s">
        <v>30</v>
      </c>
      <c r="C5" s="59" t="s">
        <v>31</v>
      </c>
      <c r="D5" s="59" t="s">
        <v>32</v>
      </c>
      <c r="E5" s="59" t="s">
        <v>33</v>
      </c>
      <c r="F5" s="59" t="s">
        <v>34</v>
      </c>
      <c r="G5" s="59" t="s">
        <v>35</v>
      </c>
      <c r="H5" s="59" t="s">
        <v>56</v>
      </c>
      <c r="I5" s="59" t="s">
        <v>57</v>
      </c>
      <c r="J5" s="59" t="s">
        <v>58</v>
      </c>
    </row>
    <row r="6" spans="1:10" s="83" customFormat="1">
      <c r="A6" s="85" t="str">
        <f>'BOF Dataset'!A15</f>
        <v>BOF1</v>
      </c>
      <c r="B6" s="91">
        <f>'BOF Dataset'!B15</f>
        <v>0.75600000000000001</v>
      </c>
      <c r="C6" s="91">
        <f>'BOF Dataset'!C15</f>
        <v>0.35</v>
      </c>
      <c r="D6" s="91">
        <f>'BOF Dataset'!D15</f>
        <v>0.4</v>
      </c>
      <c r="E6" s="91">
        <f>'BOF Dataset'!E15</f>
        <v>0.3</v>
      </c>
      <c r="F6" s="91">
        <f>'BOF Dataset'!F15</f>
        <v>0.45</v>
      </c>
      <c r="G6" s="91">
        <f>'BOF Dataset'!G15</f>
        <v>0.2</v>
      </c>
      <c r="H6" s="91">
        <f>'Balanced Data'!B4/'Balanced Data'!N4</f>
        <v>0.75374585929722471</v>
      </c>
      <c r="I6" s="92">
        <f>'Balanced Data'!B4/'Balanced Data'!C4</f>
        <v>4.2868875854872286</v>
      </c>
      <c r="J6" s="91">
        <f t="shared" ref="J6:J11" si="0">MAX(B6:G6)</f>
        <v>0.75600000000000001</v>
      </c>
    </row>
    <row r="7" spans="1:10" s="83" customFormat="1">
      <c r="A7" s="87" t="str">
        <f>'BOF Dataset'!A16</f>
        <v>BOF2</v>
      </c>
      <c r="B7" s="93">
        <f>'BOF Dataset'!B16</f>
        <v>0.69</v>
      </c>
      <c r="C7" s="93">
        <f>'BOF Dataset'!C16</f>
        <v>0.38</v>
      </c>
      <c r="D7" s="93">
        <f>'BOF Dataset'!D16</f>
        <v>0.42</v>
      </c>
      <c r="E7" s="93">
        <f>'BOF Dataset'!E16</f>
        <v>0.33</v>
      </c>
      <c r="F7" s="93">
        <f>'BOF Dataset'!F16</f>
        <v>0.47</v>
      </c>
      <c r="G7" s="93">
        <f>'BOF Dataset'!G16</f>
        <v>0.25</v>
      </c>
      <c r="H7" s="93">
        <f>'Balanced Data'!B5/'Balanced Data'!N5</f>
        <v>0.72170738682586444</v>
      </c>
      <c r="I7" s="94">
        <f>'Balanced Data'!B5/'Balanced Data'!C5</f>
        <v>3.6037432187940888</v>
      </c>
      <c r="J7" s="93">
        <f t="shared" si="0"/>
        <v>0.69</v>
      </c>
    </row>
    <row r="8" spans="1:10" s="83" customFormat="1">
      <c r="A8" s="87" t="str">
        <f>'BOF Dataset'!A17</f>
        <v>BOF3</v>
      </c>
      <c r="B8" s="93">
        <f>'BOF Dataset'!B17</f>
        <v>0.82</v>
      </c>
      <c r="C8" s="93">
        <f>'BOF Dataset'!C17</f>
        <v>0.55000000000000004</v>
      </c>
      <c r="D8" s="93">
        <f>'BOF Dataset'!D17</f>
        <v>0.57999999999999996</v>
      </c>
      <c r="E8" s="93">
        <f>'BOF Dataset'!E17</f>
        <v>0.48</v>
      </c>
      <c r="F8" s="93">
        <f>'BOF Dataset'!F17</f>
        <v>0.63</v>
      </c>
      <c r="G8" s="93">
        <f>'BOF Dataset'!G17</f>
        <v>0.4</v>
      </c>
      <c r="H8" s="93">
        <f>'Balanced Data'!B6/'Balanced Data'!N6</f>
        <v>0.68356862086321979</v>
      </c>
      <c r="I8" s="94">
        <f>'Balanced Data'!B6/'Balanced Data'!C6</f>
        <v>2.9589628115315882</v>
      </c>
      <c r="J8" s="93">
        <f t="shared" si="0"/>
        <v>0.82</v>
      </c>
    </row>
    <row r="9" spans="1:10" s="83" customFormat="1">
      <c r="A9" s="87" t="str">
        <f>'BOF Dataset'!A18</f>
        <v>BOF4</v>
      </c>
      <c r="B9" s="93">
        <f>'BOF Dataset'!B18</f>
        <v>0.70599999999999996</v>
      </c>
      <c r="C9" s="93">
        <f>'BOF Dataset'!C18</f>
        <v>0.33</v>
      </c>
      <c r="D9" s="93">
        <f>'BOF Dataset'!D18</f>
        <v>0.38</v>
      </c>
      <c r="E9" s="93">
        <f>'BOF Dataset'!E18</f>
        <v>0.28000000000000003</v>
      </c>
      <c r="F9" s="93">
        <f>'BOF Dataset'!F18</f>
        <v>0.42</v>
      </c>
      <c r="G9" s="93">
        <f>'BOF Dataset'!G18</f>
        <v>0.22</v>
      </c>
      <c r="H9" s="93">
        <f>'Balanced Data'!B7/'Balanced Data'!N7</f>
        <v>0.75200279422222094</v>
      </c>
      <c r="I9" s="94">
        <f>'Balanced Data'!B7/'Balanced Data'!C7</f>
        <v>4.24599135150671</v>
      </c>
      <c r="J9" s="93">
        <f t="shared" si="0"/>
        <v>0.70599999999999996</v>
      </c>
    </row>
    <row r="10" spans="1:10" s="83" customFormat="1">
      <c r="A10" s="87" t="str">
        <f>'BOF Dataset'!A19</f>
        <v>BOF5</v>
      </c>
      <c r="B10" s="93">
        <f>'BOF Dataset'!B19</f>
        <v>0.60199999999999998</v>
      </c>
      <c r="C10" s="93">
        <f>'BOF Dataset'!C19</f>
        <v>0.28000000000000003</v>
      </c>
      <c r="D10" s="93">
        <f>'BOF Dataset'!D19</f>
        <v>0.34</v>
      </c>
      <c r="E10" s="93">
        <f>'BOF Dataset'!E19</f>
        <v>0.25</v>
      </c>
      <c r="F10" s="93">
        <f>'BOF Dataset'!F19</f>
        <v>0.36</v>
      </c>
      <c r="G10" s="93">
        <f>'BOF Dataset'!G19</f>
        <v>0.18</v>
      </c>
      <c r="H10" s="93">
        <f>'Balanced Data'!B8/'Balanced Data'!N8</f>
        <v>0.75131179568983808</v>
      </c>
      <c r="I10" s="94">
        <f>'Balanced Data'!B8/'Balanced Data'!C8</f>
        <v>4.2670408837025651</v>
      </c>
      <c r="J10" s="93">
        <f t="shared" si="0"/>
        <v>0.60199999999999998</v>
      </c>
    </row>
    <row r="11" spans="1:10" s="83" customFormat="1">
      <c r="A11" s="89" t="str">
        <f>'BOF Dataset'!A20</f>
        <v>BOF6</v>
      </c>
      <c r="B11" s="95">
        <f>'BOF Dataset'!B20</f>
        <v>0.91</v>
      </c>
      <c r="C11" s="95">
        <f>'BOF Dataset'!C20</f>
        <v>0.62</v>
      </c>
      <c r="D11" s="95">
        <f>'BOF Dataset'!D20</f>
        <v>0.65</v>
      </c>
      <c r="E11" s="95">
        <f>'BOF Dataset'!E20</f>
        <v>0.55000000000000004</v>
      </c>
      <c r="F11" s="95">
        <f>'BOF Dataset'!F20</f>
        <v>0.7</v>
      </c>
      <c r="G11" s="95">
        <f>'BOF Dataset'!G20</f>
        <v>0.45</v>
      </c>
      <c r="H11" s="95">
        <f>'Balanced Data'!B9/'Balanced Data'!N9</f>
        <v>0.68059054947255937</v>
      </c>
      <c r="I11" s="96">
        <f>'Balanced Data'!B9/'Balanced Data'!C9</f>
        <v>2.9129836490392607</v>
      </c>
      <c r="J11" s="95">
        <f t="shared" si="0"/>
        <v>0.91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4"/>
  <sheetViews>
    <sheetView showGridLines="0" workbookViewId="0">
      <selection activeCell="A19" sqref="A19"/>
    </sheetView>
  </sheetViews>
  <sheetFormatPr defaultRowHeight="13.8"/>
  <cols>
    <col min="1" max="1" width="55" customWidth="1"/>
    <col min="2" max="2" width="60" customWidth="1"/>
    <col min="3" max="3" width="3" customWidth="1"/>
    <col min="4" max="8" width="16" customWidth="1"/>
  </cols>
  <sheetData>
    <row r="1" spans="1:13" ht="30" customHeight="1">
      <c r="A1" s="36" t="s">
        <v>152</v>
      </c>
      <c r="B1" s="36" t="s">
        <v>59</v>
      </c>
      <c r="C1" s="36" t="s">
        <v>59</v>
      </c>
      <c r="D1" s="36" t="s">
        <v>59</v>
      </c>
      <c r="E1" s="36" t="s">
        <v>59</v>
      </c>
      <c r="F1" s="36" t="s">
        <v>59</v>
      </c>
      <c r="G1" s="36" t="s">
        <v>59</v>
      </c>
      <c r="H1" s="36" t="s">
        <v>59</v>
      </c>
    </row>
    <row r="6" spans="1:13" ht="31.95" customHeight="1">
      <c r="A6" s="97" t="s">
        <v>60</v>
      </c>
      <c r="B6" s="97" t="s">
        <v>10</v>
      </c>
      <c r="I6" s="37" t="s">
        <v>61</v>
      </c>
      <c r="J6" s="37"/>
      <c r="K6" s="37"/>
      <c r="L6" s="37"/>
      <c r="M6" s="37"/>
    </row>
    <row r="7" spans="1:13" ht="28.05" customHeight="1">
      <c r="A7" s="98" t="s">
        <v>62</v>
      </c>
      <c r="B7" s="98" t="s">
        <v>41</v>
      </c>
      <c r="I7" s="38" t="s">
        <v>63</v>
      </c>
      <c r="J7" s="39"/>
      <c r="K7" s="39"/>
      <c r="L7" s="39"/>
      <c r="M7" s="40"/>
    </row>
    <row r="8" spans="1:13" ht="28.05" customHeight="1">
      <c r="A8" s="98" t="s">
        <v>64</v>
      </c>
      <c r="B8" s="98" t="s">
        <v>65</v>
      </c>
      <c r="I8" s="38" t="s">
        <v>66</v>
      </c>
      <c r="J8" s="39"/>
      <c r="K8" s="39"/>
      <c r="L8" s="39"/>
      <c r="M8" s="40"/>
    </row>
    <row r="9" spans="1:13" ht="28.05" customHeight="1">
      <c r="A9" s="98" t="s">
        <v>67</v>
      </c>
      <c r="B9" s="98">
        <v>1.7</v>
      </c>
      <c r="I9" s="38" t="s">
        <v>68</v>
      </c>
      <c r="J9" s="39"/>
      <c r="K9" s="39"/>
      <c r="L9" s="39"/>
      <c r="M9" s="40"/>
    </row>
    <row r="10" spans="1:13" ht="28.05" customHeight="1">
      <c r="A10" s="98" t="s">
        <v>69</v>
      </c>
      <c r="B10" s="98" t="s">
        <v>70</v>
      </c>
      <c r="I10" s="38" t="s">
        <v>71</v>
      </c>
      <c r="J10" s="39"/>
      <c r="K10" s="39"/>
      <c r="L10" s="39"/>
      <c r="M10" s="40"/>
    </row>
    <row r="11" spans="1:13" ht="28.05" customHeight="1">
      <c r="A11" s="98" t="s">
        <v>72</v>
      </c>
      <c r="B11" s="98" t="s">
        <v>73</v>
      </c>
      <c r="I11" s="38" t="s">
        <v>74</v>
      </c>
      <c r="J11" s="39"/>
      <c r="K11" s="39"/>
      <c r="L11" s="39"/>
      <c r="M11" s="40"/>
    </row>
    <row r="12" spans="1:13">
      <c r="A12" s="98" t="s">
        <v>75</v>
      </c>
      <c r="B12" s="98" t="s">
        <v>76</v>
      </c>
      <c r="I12" s="41" t="s">
        <v>77</v>
      </c>
      <c r="J12" s="42"/>
      <c r="K12" s="42"/>
      <c r="L12" s="42"/>
      <c r="M12" s="43"/>
    </row>
    <row r="13" spans="1:13">
      <c r="A13" s="98" t="s">
        <v>78</v>
      </c>
      <c r="B13" s="98" t="s">
        <v>79</v>
      </c>
      <c r="I13" s="44"/>
      <c r="J13" s="45"/>
      <c r="K13" s="45"/>
      <c r="L13" s="45"/>
      <c r="M13" s="46"/>
    </row>
    <row r="15" spans="1:13" ht="31.95" customHeight="1"/>
    <row r="22" ht="31.95" customHeight="1"/>
    <row r="23" ht="42" customHeight="1"/>
    <row r="24" ht="42" customHeight="1"/>
  </sheetData>
  <mergeCells count="8">
    <mergeCell ref="I9:M9"/>
    <mergeCell ref="I10:M10"/>
    <mergeCell ref="I11:M11"/>
    <mergeCell ref="I12:M13"/>
    <mergeCell ref="A1:H1"/>
    <mergeCell ref="I6:M6"/>
    <mergeCell ref="I7:M7"/>
    <mergeCell ref="I8:M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showGridLines="0" workbookViewId="0">
      <selection activeCell="H17" sqref="H17"/>
    </sheetView>
  </sheetViews>
  <sheetFormatPr defaultRowHeight="13.8"/>
  <cols>
    <col min="1" max="1" width="18" customWidth="1"/>
    <col min="2" max="2" width="9" customWidth="1"/>
    <col min="3" max="9" width="13" customWidth="1"/>
    <col min="10" max="10" width="36" customWidth="1"/>
    <col min="12" max="12" width="18" customWidth="1"/>
    <col min="13" max="13" width="24" customWidth="1"/>
  </cols>
  <sheetData>
    <row r="1" spans="1:9" ht="30" customHeight="1">
      <c r="A1" s="36" t="s">
        <v>153</v>
      </c>
      <c r="B1" s="36"/>
      <c r="C1" s="36"/>
      <c r="D1" s="36"/>
      <c r="E1" s="36"/>
      <c r="F1" s="36"/>
      <c r="G1" s="36"/>
      <c r="H1" s="36"/>
      <c r="I1" s="36"/>
    </row>
    <row r="2" spans="1:9" ht="31.95" customHeight="1"/>
    <row r="4" spans="1:9" ht="31.95" customHeight="1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88</v>
      </c>
    </row>
    <row r="5" spans="1:9">
      <c r="A5" s="2" t="s">
        <v>89</v>
      </c>
      <c r="B5" s="8">
        <v>1.7</v>
      </c>
      <c r="C5" s="14">
        <v>100</v>
      </c>
      <c r="D5" s="14">
        <v>100</v>
      </c>
      <c r="E5" s="14">
        <v>100</v>
      </c>
      <c r="F5" s="14">
        <v>100</v>
      </c>
      <c r="G5" s="14">
        <v>100</v>
      </c>
      <c r="H5" s="14">
        <v>100</v>
      </c>
      <c r="I5" s="14">
        <v>100</v>
      </c>
    </row>
    <row r="6" spans="1:9">
      <c r="A6" s="3" t="s">
        <v>90</v>
      </c>
      <c r="B6" s="9">
        <v>5</v>
      </c>
      <c r="C6" s="15">
        <v>63</v>
      </c>
      <c r="D6" s="15">
        <v>59.5</v>
      </c>
      <c r="E6" s="15">
        <v>63</v>
      </c>
      <c r="F6" s="15">
        <v>0</v>
      </c>
      <c r="G6" s="15">
        <v>62</v>
      </c>
      <c r="H6" s="15">
        <v>0</v>
      </c>
      <c r="I6" s="15">
        <v>0</v>
      </c>
    </row>
    <row r="7" spans="1:9">
      <c r="A7" s="3" t="s">
        <v>91</v>
      </c>
      <c r="B7" s="9">
        <v>6</v>
      </c>
      <c r="C7" s="15">
        <v>60.5</v>
      </c>
      <c r="D7" s="15">
        <v>40.82</v>
      </c>
      <c r="E7" s="15">
        <v>60.5</v>
      </c>
      <c r="F7" s="15">
        <v>0</v>
      </c>
      <c r="G7" s="15">
        <v>58.5</v>
      </c>
      <c r="H7" s="15">
        <v>0</v>
      </c>
      <c r="I7" s="15">
        <v>0</v>
      </c>
    </row>
    <row r="8" spans="1:9">
      <c r="A8" s="3" t="s">
        <v>92</v>
      </c>
      <c r="B8" s="9">
        <v>7</v>
      </c>
      <c r="C8" s="15">
        <v>52.5</v>
      </c>
      <c r="D8" s="15">
        <v>22.14</v>
      </c>
      <c r="E8" s="15">
        <v>52.5</v>
      </c>
      <c r="F8" s="15">
        <v>0</v>
      </c>
      <c r="G8" s="15">
        <v>51.5</v>
      </c>
      <c r="H8" s="15">
        <v>0</v>
      </c>
      <c r="I8" s="15">
        <v>0</v>
      </c>
    </row>
    <row r="9" spans="1:9">
      <c r="A9" s="3" t="s">
        <v>93</v>
      </c>
      <c r="B9" s="9">
        <v>8</v>
      </c>
      <c r="C9" s="15">
        <v>48.5</v>
      </c>
      <c r="D9" s="15">
        <v>0.13</v>
      </c>
      <c r="E9" s="15">
        <v>48</v>
      </c>
      <c r="F9" s="15">
        <v>0</v>
      </c>
      <c r="G9" s="15">
        <v>33.18</v>
      </c>
      <c r="H9" s="15">
        <v>0</v>
      </c>
      <c r="I9" s="15">
        <v>0</v>
      </c>
    </row>
    <row r="10" spans="1:9">
      <c r="A10" s="3" t="s">
        <v>94</v>
      </c>
      <c r="B10" s="9">
        <v>9</v>
      </c>
      <c r="C10" s="15">
        <v>44.5</v>
      </c>
      <c r="D10" s="15">
        <v>0.05</v>
      </c>
      <c r="E10" s="15">
        <v>30.05</v>
      </c>
      <c r="F10" s="15">
        <v>0</v>
      </c>
      <c r="G10" s="15">
        <v>0.5</v>
      </c>
      <c r="H10" s="15">
        <v>0</v>
      </c>
      <c r="I10" s="15">
        <v>0</v>
      </c>
    </row>
    <row r="11" spans="1:9">
      <c r="A11" s="4" t="s">
        <v>95</v>
      </c>
      <c r="B11" s="10">
        <v>10</v>
      </c>
      <c r="C11" s="16">
        <v>39.96</v>
      </c>
      <c r="D11" s="16">
        <v>0.02</v>
      </c>
      <c r="E11" s="16">
        <v>0.5</v>
      </c>
      <c r="F11" s="16">
        <v>0</v>
      </c>
      <c r="G11" s="16">
        <v>0.1</v>
      </c>
      <c r="H11" s="16">
        <v>0</v>
      </c>
      <c r="I11" s="16">
        <v>0</v>
      </c>
    </row>
    <row r="13" spans="1:9" ht="49.8" customHeight="1">
      <c r="A13" s="97" t="s">
        <v>96</v>
      </c>
      <c r="B13" s="97" t="s">
        <v>97</v>
      </c>
      <c r="C13" s="97" t="s">
        <v>98</v>
      </c>
      <c r="D13" s="97" t="s">
        <v>99</v>
      </c>
      <c r="E13" s="97" t="s">
        <v>100</v>
      </c>
      <c r="F13" s="97" t="s">
        <v>101</v>
      </c>
    </row>
    <row r="14" spans="1:9" ht="55.95" customHeight="1">
      <c r="A14" s="99" t="s">
        <v>102</v>
      </c>
      <c r="B14" s="99" t="s">
        <v>103</v>
      </c>
      <c r="C14" s="100">
        <v>33.5</v>
      </c>
      <c r="D14" s="99" t="s">
        <v>104</v>
      </c>
      <c r="E14" s="99" t="s">
        <v>105</v>
      </c>
      <c r="F14" s="99" t="s">
        <v>106</v>
      </c>
    </row>
    <row r="15" spans="1:9" ht="55.95" customHeight="1">
      <c r="A15" s="99" t="s">
        <v>107</v>
      </c>
      <c r="B15" s="99" t="s">
        <v>108</v>
      </c>
      <c r="C15" s="100">
        <v>15.1</v>
      </c>
      <c r="D15" s="99" t="s">
        <v>109</v>
      </c>
      <c r="E15" s="99" t="s">
        <v>110</v>
      </c>
      <c r="F15" s="99" t="s">
        <v>111</v>
      </c>
    </row>
    <row r="16" spans="1:9" ht="55.95" customHeight="1">
      <c r="A16" s="99" t="s">
        <v>112</v>
      </c>
      <c r="B16" s="99" t="s">
        <v>113</v>
      </c>
      <c r="C16" s="100">
        <v>12.7</v>
      </c>
      <c r="D16" s="99" t="s">
        <v>114</v>
      </c>
      <c r="E16" s="99" t="s">
        <v>115</v>
      </c>
      <c r="F16" s="99" t="s">
        <v>116</v>
      </c>
    </row>
    <row r="17" spans="1:6" ht="55.95" customHeight="1">
      <c r="A17" s="99" t="s">
        <v>117</v>
      </c>
      <c r="B17" s="99" t="s">
        <v>118</v>
      </c>
      <c r="C17" s="100">
        <v>10.8</v>
      </c>
      <c r="D17" s="99" t="s">
        <v>119</v>
      </c>
      <c r="E17" s="99" t="s">
        <v>120</v>
      </c>
      <c r="F17" s="99" t="s">
        <v>121</v>
      </c>
    </row>
    <row r="18" spans="1:6" ht="55.95" customHeight="1">
      <c r="A18" s="99" t="s">
        <v>122</v>
      </c>
      <c r="B18" s="99" t="s">
        <v>123</v>
      </c>
      <c r="C18" s="100">
        <v>5.3</v>
      </c>
      <c r="D18" s="99" t="s">
        <v>124</v>
      </c>
      <c r="E18" s="99" t="s">
        <v>125</v>
      </c>
      <c r="F18" s="99" t="s">
        <v>126</v>
      </c>
    </row>
    <row r="19" spans="1:6" ht="55.95" customHeight="1">
      <c r="A19" s="99" t="s">
        <v>127</v>
      </c>
      <c r="B19" s="99" t="s">
        <v>128</v>
      </c>
      <c r="C19" s="99"/>
      <c r="D19" s="99" t="s">
        <v>104</v>
      </c>
      <c r="E19" s="99" t="s">
        <v>105</v>
      </c>
      <c r="F19" s="99" t="s">
        <v>129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showGridLines="0" workbookViewId="0">
      <selection activeCell="D16" sqref="D16"/>
    </sheetView>
  </sheetViews>
  <sheetFormatPr defaultRowHeight="13.8"/>
  <cols>
    <col min="1" max="1" width="18" customWidth="1"/>
    <col min="2" max="2" width="8" customWidth="1"/>
    <col min="3" max="3" width="19" customWidth="1"/>
    <col min="4" max="4" width="17" customWidth="1"/>
    <col min="5" max="11" width="14" customWidth="1"/>
  </cols>
  <sheetData>
    <row r="1" spans="1:10" ht="30" customHeight="1">
      <c r="A1" s="36" t="s">
        <v>154</v>
      </c>
      <c r="B1" s="36"/>
      <c r="C1" s="36"/>
      <c r="D1" s="36"/>
      <c r="E1" s="36"/>
      <c r="F1" s="36"/>
      <c r="G1" s="36"/>
      <c r="H1" s="36"/>
      <c r="I1" s="36"/>
      <c r="J1" s="36"/>
    </row>
    <row r="4" spans="1:10" ht="31.95" customHeight="1">
      <c r="A4" s="1" t="s">
        <v>80</v>
      </c>
      <c r="B4" s="1" t="s">
        <v>81</v>
      </c>
      <c r="C4" s="1" t="s">
        <v>130</v>
      </c>
      <c r="D4" s="1" t="s">
        <v>131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</row>
    <row r="5" spans="1:10">
      <c r="A5" s="2" t="s">
        <v>89</v>
      </c>
      <c r="B5" s="8">
        <v>1.7</v>
      </c>
      <c r="C5" s="17">
        <v>1.2</v>
      </c>
      <c r="D5" s="20">
        <f>IF(C5="",'BOF Dataset'!$B$5,'BOF Dataset'!$B$5+C5/1000)</f>
        <v>0.1512</v>
      </c>
      <c r="E5" s="23">
        <f>'Balanced Data'!$H$9*'pH Adjustments'!C5/100/D5</f>
        <v>22277.003924497996</v>
      </c>
      <c r="F5" s="23">
        <f>'Balanced Data'!$I$9*'pH Adjustments'!D5/100/D5</f>
        <v>7647.4867724867718</v>
      </c>
      <c r="G5" s="23">
        <f>'Balanced Data'!$J$9*'pH Adjustments'!E5/100/D5</f>
        <v>1029.1994548442419</v>
      </c>
      <c r="H5" s="23">
        <f>'Balanced Data'!$K$9*'pH Adjustments'!F5/100/D5</f>
        <v>356.16330881354389</v>
      </c>
      <c r="I5" s="23">
        <f>'Balanced Data'!$L$9*'pH Adjustments'!G5/100/D5</f>
        <v>1358.893948221134</v>
      </c>
      <c r="J5" s="23">
        <f>'Balanced Data'!$M$9*'pH Adjustments'!H5/100/D5</f>
        <v>63.126317214518878</v>
      </c>
    </row>
    <row r="6" spans="1:10">
      <c r="A6" s="3" t="s">
        <v>90</v>
      </c>
      <c r="B6" s="9">
        <v>5</v>
      </c>
      <c r="C6" s="18">
        <v>1.4</v>
      </c>
      <c r="D6" s="21">
        <f>IF(C6="",'BOF Dataset'!$B$5,'BOF Dataset'!$B$5+C6/1000)</f>
        <v>0.15140000000000001</v>
      </c>
      <c r="E6" s="25">
        <f>'Balanced Data'!$H$9*'pH Adjustments'!C6/100/D6</f>
        <v>14015.972825838713</v>
      </c>
      <c r="F6" s="25">
        <f>'Balanced Data'!$I$9*'pH Adjustments'!D6/100/D6</f>
        <v>4544.2437252311747</v>
      </c>
      <c r="G6" s="25">
        <f>'Balanced Data'!$J$9*'pH Adjustments'!E6/100/D6</f>
        <v>647.53912331996776</v>
      </c>
      <c r="H6" s="25">
        <f>'Balanced Data'!$K$9*'pH Adjustments'!F6/100/D6</f>
        <v>0</v>
      </c>
      <c r="I6" s="25">
        <f>'Balanced Data'!$L$9*'pH Adjustments'!G6/100/D6</f>
        <v>841.40128323673707</v>
      </c>
      <c r="J6" s="25">
        <f>'Balanced Data'!$M$9*'pH Adjustments'!H6/100/D6</f>
        <v>0</v>
      </c>
    </row>
    <row r="7" spans="1:10">
      <c r="A7" s="3" t="s">
        <v>91</v>
      </c>
      <c r="B7" s="9">
        <v>6</v>
      </c>
      <c r="C7" s="18">
        <v>1.3</v>
      </c>
      <c r="D7" s="21">
        <f>IF(C7="",'BOF Dataset'!$B$5,'BOF Dataset'!$B$5+C7/1000)</f>
        <v>0.15129999999999999</v>
      </c>
      <c r="E7" s="25">
        <f>'Balanced Data'!$H$9*'pH Adjustments'!C7/100/D7</f>
        <v>13468.679517497547</v>
      </c>
      <c r="F7" s="25">
        <f>'Balanced Data'!$I$9*'pH Adjustments'!D7/100/D7</f>
        <v>3119.6408460013217</v>
      </c>
      <c r="G7" s="25">
        <f>'Balanced Data'!$J$9*'pH Adjustments'!E7/100/D7</f>
        <v>622.25412644634423</v>
      </c>
      <c r="H7" s="25">
        <f>'Balanced Data'!$K$9*'pH Adjustments'!F7/100/D7</f>
        <v>0</v>
      </c>
      <c r="I7" s="25">
        <f>'Balanced Data'!$L$9*'pH Adjustments'!G7/100/D7</f>
        <v>794.4275446665946</v>
      </c>
      <c r="J7" s="25">
        <f>'Balanced Data'!$M$9*'pH Adjustments'!H7/100/D7</f>
        <v>0</v>
      </c>
    </row>
    <row r="8" spans="1:10">
      <c r="A8" s="3" t="s">
        <v>92</v>
      </c>
      <c r="B8" s="9">
        <v>7</v>
      </c>
      <c r="C8" s="18">
        <v>0.8</v>
      </c>
      <c r="D8" s="21">
        <f>IF(C8="",'BOF Dataset'!$B$5,'BOF Dataset'!$B$5+C8/1000)</f>
        <v>0.15079999999999999</v>
      </c>
      <c r="E8" s="25">
        <f>'Balanced Data'!$H$9*'pH Adjustments'!C8/100/D8</f>
        <v>11726.449413306704</v>
      </c>
      <c r="F8" s="25">
        <f>'Balanced Data'!$I$9*'pH Adjustments'!D8/100/D8</f>
        <v>1697.6446949602123</v>
      </c>
      <c r="G8" s="25">
        <f>'Balanced Data'!$J$9*'pH Adjustments'!E8/100/D8</f>
        <v>541.76294910832848</v>
      </c>
      <c r="H8" s="25">
        <f>'Balanced Data'!$K$9*'pH Adjustments'!F8/100/D8</f>
        <v>0</v>
      </c>
      <c r="I8" s="25">
        <f>'Balanced Data'!$L$9*'pH Adjustments'!G8/100/D8</f>
        <v>701.68669734803234</v>
      </c>
      <c r="J8" s="25">
        <f>'Balanced Data'!$M$9*'pH Adjustments'!H8/100/D8</f>
        <v>0</v>
      </c>
    </row>
    <row r="9" spans="1:10">
      <c r="A9" s="3" t="s">
        <v>93</v>
      </c>
      <c r="B9" s="9">
        <v>8</v>
      </c>
      <c r="C9" s="18">
        <v>1.1000000000000001</v>
      </c>
      <c r="D9" s="21">
        <f>IF(C9="",'BOF Dataset'!$B$5,'BOF Dataset'!$B$5+C9/1000)</f>
        <v>0.15109999999999998</v>
      </c>
      <c r="E9" s="25">
        <f>'Balanced Data'!$H$9*'pH Adjustments'!C9/100/D9</f>
        <v>10811.497364601502</v>
      </c>
      <c r="F9" s="25">
        <f>'Balanced Data'!$I$9*'pH Adjustments'!D9/100/D9</f>
        <v>9.9483123759099925</v>
      </c>
      <c r="G9" s="25">
        <f>'Balanced Data'!$J$9*'pH Adjustments'!E9/100/D9</f>
        <v>494.34268454517343</v>
      </c>
      <c r="H9" s="25">
        <f>'Balanced Data'!$K$9*'pH Adjustments'!F9/100/D9</f>
        <v>0</v>
      </c>
      <c r="I9" s="25">
        <f>'Balanced Data'!$L$9*'pH Adjustments'!G9/100/D9</f>
        <v>451.17941110118846</v>
      </c>
      <c r="J9" s="25">
        <f>'Balanced Data'!$M$9*'pH Adjustments'!H9/100/D9</f>
        <v>0</v>
      </c>
    </row>
    <row r="10" spans="1:10">
      <c r="A10" s="3" t="s">
        <v>94</v>
      </c>
      <c r="B10" s="9">
        <v>9</v>
      </c>
      <c r="C10" s="18">
        <v>0.6</v>
      </c>
      <c r="D10" s="21">
        <f>IF(C10="",'BOF Dataset'!$B$5,'BOF Dataset'!$B$5+C10/1000)</f>
        <v>0.15059999999999998</v>
      </c>
      <c r="E10" s="25">
        <f>'Balanced Data'!$H$9*'pH Adjustments'!C10/100/D10</f>
        <v>9952.7618330406603</v>
      </c>
      <c r="F10" s="25">
        <f>'Balanced Data'!$I$9*'pH Adjustments'!D10/100/D10</f>
        <v>3.8389774236387781</v>
      </c>
      <c r="G10" s="25">
        <f>'Balanced Data'!$J$9*'pH Adjustments'!E10/100/D10</f>
        <v>310.50660524914377</v>
      </c>
      <c r="H10" s="25">
        <f>'Balanced Data'!$K$9*'pH Adjustments'!F10/100/D10</f>
        <v>0</v>
      </c>
      <c r="I10" s="25">
        <f>'Balanced Data'!$L$9*'pH Adjustments'!G10/100/D10</f>
        <v>6.8215393416678447</v>
      </c>
      <c r="J10" s="25">
        <f>'Balanced Data'!$M$9*'pH Adjustments'!H10/100/D10</f>
        <v>0</v>
      </c>
    </row>
    <row r="11" spans="1:10">
      <c r="A11" s="4" t="s">
        <v>95</v>
      </c>
      <c r="B11" s="10">
        <v>10</v>
      </c>
      <c r="C11" s="19">
        <v>0.2</v>
      </c>
      <c r="D11" s="22">
        <f>IF(C11="",'BOF Dataset'!$B$5,'BOF Dataset'!$B$5+C11/1000)</f>
        <v>0.1502</v>
      </c>
      <c r="E11" s="27">
        <f>'Balanced Data'!$H$9*'pH Adjustments'!C11/100/D11</f>
        <v>8961.1576841297283</v>
      </c>
      <c r="F11" s="27">
        <f>'Balanced Data'!$I$9*'pH Adjustments'!D11/100/D11</f>
        <v>1.5396804260985355</v>
      </c>
      <c r="G11" s="27">
        <f>'Balanced Data'!$J$9*'pH Adjustments'!E11/100/D11</f>
        <v>5.1802582414264107</v>
      </c>
      <c r="H11" s="27">
        <f>'Balanced Data'!$K$9*'pH Adjustments'!F11/100/D11</f>
        <v>0</v>
      </c>
      <c r="I11" s="27">
        <f>'Balanced Data'!$L$9*'pH Adjustments'!G11/100/D11</f>
        <v>1.3679411782359219</v>
      </c>
      <c r="J11" s="27">
        <f>'Balanced Data'!$M$9*'pH Adjustments'!H11/100/D11</f>
        <v>0</v>
      </c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"/>
  <sheetViews>
    <sheetView showGridLines="0" topLeftCell="C1" workbookViewId="0">
      <selection sqref="A1:S1"/>
    </sheetView>
  </sheetViews>
  <sheetFormatPr defaultRowHeight="13.8"/>
  <cols>
    <col min="1" max="1" width="18" customWidth="1"/>
    <col min="2" max="2" width="8" customWidth="1"/>
    <col min="3" max="9" width="11" customWidth="1"/>
    <col min="10" max="10" width="3" customWidth="1"/>
    <col min="11" max="11" width="18" customWidth="1"/>
    <col min="12" max="12" width="8" customWidth="1"/>
    <col min="13" max="19" width="11" customWidth="1"/>
  </cols>
  <sheetData>
    <row r="1" spans="1:19" ht="30" customHeight="1">
      <c r="A1" s="36" t="s">
        <v>132</v>
      </c>
      <c r="B1" s="36" t="s">
        <v>132</v>
      </c>
      <c r="C1" s="36" t="s">
        <v>132</v>
      </c>
      <c r="D1" s="36" t="s">
        <v>132</v>
      </c>
      <c r="E1" s="36" t="s">
        <v>132</v>
      </c>
      <c r="F1" s="36" t="s">
        <v>132</v>
      </c>
      <c r="G1" s="36" t="s">
        <v>132</v>
      </c>
      <c r="H1" s="36" t="s">
        <v>132</v>
      </c>
      <c r="I1" s="36" t="s">
        <v>132</v>
      </c>
      <c r="J1" s="36" t="s">
        <v>132</v>
      </c>
      <c r="K1" s="36" t="s">
        <v>132</v>
      </c>
      <c r="L1" s="36" t="s">
        <v>132</v>
      </c>
      <c r="M1" s="36" t="s">
        <v>132</v>
      </c>
      <c r="N1" s="36" t="s">
        <v>132</v>
      </c>
      <c r="O1" s="36" t="s">
        <v>132</v>
      </c>
      <c r="P1" s="36" t="s">
        <v>132</v>
      </c>
      <c r="Q1" s="36" t="s">
        <v>132</v>
      </c>
      <c r="R1" s="36" t="s">
        <v>132</v>
      </c>
      <c r="S1" s="36" t="s">
        <v>132</v>
      </c>
    </row>
    <row r="3" spans="1:19">
      <c r="A3" s="47" t="s">
        <v>133</v>
      </c>
      <c r="B3" s="47"/>
      <c r="C3" s="47"/>
      <c r="D3" s="47"/>
      <c r="E3" s="47"/>
      <c r="F3" s="47"/>
      <c r="G3" s="47"/>
      <c r="H3" s="47"/>
      <c r="I3" s="47"/>
      <c r="K3" s="48" t="s">
        <v>134</v>
      </c>
      <c r="L3" s="48"/>
      <c r="M3" s="48"/>
      <c r="N3" s="48"/>
      <c r="O3" s="48"/>
      <c r="P3" s="48"/>
      <c r="Q3" s="48"/>
      <c r="R3" s="48"/>
      <c r="S3" s="48"/>
    </row>
    <row r="5" spans="1:19" ht="31.95" customHeight="1">
      <c r="A5" s="1" t="s">
        <v>80</v>
      </c>
      <c r="B5" s="1" t="s">
        <v>81</v>
      </c>
      <c r="C5" s="1" t="s">
        <v>135</v>
      </c>
      <c r="D5" s="1" t="s">
        <v>136</v>
      </c>
      <c r="E5" s="1" t="s">
        <v>137</v>
      </c>
      <c r="F5" s="1" t="s">
        <v>138</v>
      </c>
      <c r="G5" s="1" t="s">
        <v>139</v>
      </c>
      <c r="H5" s="1" t="s">
        <v>140</v>
      </c>
      <c r="I5" s="1" t="s">
        <v>141</v>
      </c>
      <c r="K5" s="1" t="s">
        <v>80</v>
      </c>
      <c r="L5" s="1" t="s">
        <v>81</v>
      </c>
      <c r="M5" s="1" t="s">
        <v>135</v>
      </c>
      <c r="N5" s="1" t="s">
        <v>136</v>
      </c>
      <c r="O5" s="1" t="s">
        <v>137</v>
      </c>
      <c r="P5" s="1" t="s">
        <v>138</v>
      </c>
      <c r="Q5" s="1" t="s">
        <v>139</v>
      </c>
      <c r="R5" s="1" t="s">
        <v>140</v>
      </c>
      <c r="S5" s="1" t="s">
        <v>141</v>
      </c>
    </row>
    <row r="6" spans="1:19">
      <c r="A6" s="2" t="s">
        <v>89</v>
      </c>
      <c r="B6" s="8">
        <v>1.7</v>
      </c>
      <c r="C6" s="11">
        <f>100-'pH Adjustments'!C5</f>
        <v>0</v>
      </c>
      <c r="D6" s="11">
        <f>100-'pH Adjustments'!D5</f>
        <v>0</v>
      </c>
      <c r="E6" s="11">
        <f>100-'pH Adjustments'!E5</f>
        <v>0</v>
      </c>
      <c r="F6" s="11">
        <f>100-'pH Adjustments'!F5</f>
        <v>0</v>
      </c>
      <c r="G6" s="11">
        <f>100-'pH Adjustments'!G5</f>
        <v>0</v>
      </c>
      <c r="H6" s="11">
        <f>100-'pH Adjustments'!H5</f>
        <v>0</v>
      </c>
      <c r="I6" s="29">
        <f>100-'pH Adjustments'!I5</f>
        <v>0</v>
      </c>
      <c r="K6" s="2" t="s">
        <v>89</v>
      </c>
      <c r="L6" s="8">
        <v>1.7</v>
      </c>
      <c r="M6" s="11">
        <f>0</f>
        <v>0</v>
      </c>
      <c r="N6" s="11">
        <f>0</f>
        <v>0</v>
      </c>
      <c r="O6" s="11">
        <f>0</f>
        <v>0</v>
      </c>
      <c r="P6" s="11">
        <f>0</f>
        <v>0</v>
      </c>
      <c r="Q6" s="11">
        <f>0</f>
        <v>0</v>
      </c>
      <c r="R6" s="11">
        <f>0</f>
        <v>0</v>
      </c>
      <c r="S6" s="29">
        <f>0</f>
        <v>0</v>
      </c>
    </row>
    <row r="7" spans="1:19">
      <c r="A7" s="3" t="s">
        <v>90</v>
      </c>
      <c r="B7" s="9">
        <v>5</v>
      </c>
      <c r="C7" s="12">
        <f>100-'pH Adjustments'!C6</f>
        <v>37</v>
      </c>
      <c r="D7" s="12">
        <f>100-'pH Adjustments'!D6</f>
        <v>40.5</v>
      </c>
      <c r="E7" s="12">
        <f>100-'pH Adjustments'!E6</f>
        <v>37</v>
      </c>
      <c r="F7" s="12">
        <f>100-'pH Adjustments'!F6</f>
        <v>100</v>
      </c>
      <c r="G7" s="12">
        <f>100-'pH Adjustments'!G6</f>
        <v>38</v>
      </c>
      <c r="H7" s="12">
        <f>100-'pH Adjustments'!H6</f>
        <v>100</v>
      </c>
      <c r="I7" s="30">
        <f>100-'pH Adjustments'!I6</f>
        <v>100</v>
      </c>
      <c r="K7" s="3" t="s">
        <v>90</v>
      </c>
      <c r="L7" s="9">
        <v>5</v>
      </c>
      <c r="M7" s="12">
        <f>'pH Adjustments'!C5-'pH Adjustments'!C6</f>
        <v>37</v>
      </c>
      <c r="N7" s="12">
        <f>'pH Adjustments'!D5-'pH Adjustments'!D6</f>
        <v>40.5</v>
      </c>
      <c r="O7" s="12">
        <f>'pH Adjustments'!E5-'pH Adjustments'!E6</f>
        <v>37</v>
      </c>
      <c r="P7" s="12">
        <f>'pH Adjustments'!F5-'pH Adjustments'!F6</f>
        <v>100</v>
      </c>
      <c r="Q7" s="12">
        <f>'pH Adjustments'!G5-'pH Adjustments'!G6</f>
        <v>38</v>
      </c>
      <c r="R7" s="12">
        <f>'pH Adjustments'!H5-'pH Adjustments'!H6</f>
        <v>100</v>
      </c>
      <c r="S7" s="30">
        <f>'pH Adjustments'!I5-'pH Adjustments'!I6</f>
        <v>100</v>
      </c>
    </row>
    <row r="8" spans="1:19">
      <c r="A8" s="3" t="s">
        <v>91</v>
      </c>
      <c r="B8" s="9">
        <v>6</v>
      </c>
      <c r="C8" s="12">
        <f>100-'pH Adjustments'!C7</f>
        <v>39.5</v>
      </c>
      <c r="D8" s="12">
        <f>100-'pH Adjustments'!D7</f>
        <v>59.18</v>
      </c>
      <c r="E8" s="12">
        <f>100-'pH Adjustments'!E7</f>
        <v>39.5</v>
      </c>
      <c r="F8" s="12">
        <f>100-'pH Adjustments'!F7</f>
        <v>100</v>
      </c>
      <c r="G8" s="12">
        <f>100-'pH Adjustments'!G7</f>
        <v>41.5</v>
      </c>
      <c r="H8" s="12">
        <f>100-'pH Adjustments'!H7</f>
        <v>100</v>
      </c>
      <c r="I8" s="30">
        <f>100-'pH Adjustments'!I7</f>
        <v>100</v>
      </c>
      <c r="K8" s="3" t="s">
        <v>91</v>
      </c>
      <c r="L8" s="9">
        <v>6</v>
      </c>
      <c r="M8" s="12">
        <f>'pH Adjustments'!C6-'pH Adjustments'!C7</f>
        <v>2.5</v>
      </c>
      <c r="N8" s="12">
        <f>'pH Adjustments'!D6-'pH Adjustments'!D7</f>
        <v>18.68</v>
      </c>
      <c r="O8" s="12">
        <f>'pH Adjustments'!E6-'pH Adjustments'!E7</f>
        <v>2.5</v>
      </c>
      <c r="P8" s="12">
        <f>'pH Adjustments'!F6-'pH Adjustments'!F7</f>
        <v>0</v>
      </c>
      <c r="Q8" s="12">
        <f>'pH Adjustments'!G6-'pH Adjustments'!G7</f>
        <v>3.5</v>
      </c>
      <c r="R8" s="12">
        <f>'pH Adjustments'!H6-'pH Adjustments'!H7</f>
        <v>0</v>
      </c>
      <c r="S8" s="30">
        <f>'pH Adjustments'!I6-'pH Adjustments'!I7</f>
        <v>0</v>
      </c>
    </row>
    <row r="9" spans="1:19">
      <c r="A9" s="3" t="s">
        <v>92</v>
      </c>
      <c r="B9" s="9">
        <v>7</v>
      </c>
      <c r="C9" s="12">
        <f>100-'pH Adjustments'!C8</f>
        <v>47.5</v>
      </c>
      <c r="D9" s="12">
        <f>100-'pH Adjustments'!D8</f>
        <v>77.86</v>
      </c>
      <c r="E9" s="12">
        <f>100-'pH Adjustments'!E8</f>
        <v>47.5</v>
      </c>
      <c r="F9" s="12">
        <f>100-'pH Adjustments'!F8</f>
        <v>100</v>
      </c>
      <c r="G9" s="12">
        <f>100-'pH Adjustments'!G8</f>
        <v>48.5</v>
      </c>
      <c r="H9" s="12">
        <f>100-'pH Adjustments'!H8</f>
        <v>100</v>
      </c>
      <c r="I9" s="30">
        <f>100-'pH Adjustments'!I8</f>
        <v>100</v>
      </c>
      <c r="K9" s="3" t="s">
        <v>92</v>
      </c>
      <c r="L9" s="9">
        <v>7</v>
      </c>
      <c r="M9" s="12">
        <f>'pH Adjustments'!C7-'pH Adjustments'!C8</f>
        <v>8</v>
      </c>
      <c r="N9" s="12">
        <f>'pH Adjustments'!D7-'pH Adjustments'!D8</f>
        <v>18.68</v>
      </c>
      <c r="O9" s="12">
        <f>'pH Adjustments'!E7-'pH Adjustments'!E8</f>
        <v>8</v>
      </c>
      <c r="P9" s="12">
        <f>'pH Adjustments'!F7-'pH Adjustments'!F8</f>
        <v>0</v>
      </c>
      <c r="Q9" s="12">
        <f>'pH Adjustments'!G7-'pH Adjustments'!G8</f>
        <v>7</v>
      </c>
      <c r="R9" s="12">
        <f>'pH Adjustments'!H7-'pH Adjustments'!H8</f>
        <v>0</v>
      </c>
      <c r="S9" s="30">
        <f>'pH Adjustments'!I7-'pH Adjustments'!I8</f>
        <v>0</v>
      </c>
    </row>
    <row r="10" spans="1:19">
      <c r="A10" s="3" t="s">
        <v>93</v>
      </c>
      <c r="B10" s="9">
        <v>8</v>
      </c>
      <c r="C10" s="12">
        <f>100-'pH Adjustments'!C9</f>
        <v>51.5</v>
      </c>
      <c r="D10" s="12">
        <f>100-'pH Adjustments'!D9</f>
        <v>99.87</v>
      </c>
      <c r="E10" s="12">
        <f>100-'pH Adjustments'!E9</f>
        <v>52</v>
      </c>
      <c r="F10" s="12">
        <f>100-'pH Adjustments'!F9</f>
        <v>100</v>
      </c>
      <c r="G10" s="12">
        <f>100-'pH Adjustments'!G9</f>
        <v>66.819999999999993</v>
      </c>
      <c r="H10" s="12">
        <f>100-'pH Adjustments'!H9</f>
        <v>100</v>
      </c>
      <c r="I10" s="30">
        <f>100-'pH Adjustments'!I9</f>
        <v>100</v>
      </c>
      <c r="K10" s="3" t="s">
        <v>93</v>
      </c>
      <c r="L10" s="9">
        <v>8</v>
      </c>
      <c r="M10" s="12">
        <f>'pH Adjustments'!C8-'pH Adjustments'!C9</f>
        <v>4</v>
      </c>
      <c r="N10" s="12">
        <f>'pH Adjustments'!D8-'pH Adjustments'!D9</f>
        <v>22.01</v>
      </c>
      <c r="O10" s="12">
        <f>'pH Adjustments'!E8-'pH Adjustments'!E9</f>
        <v>4.5</v>
      </c>
      <c r="P10" s="12">
        <f>'pH Adjustments'!F8-'pH Adjustments'!F9</f>
        <v>0</v>
      </c>
      <c r="Q10" s="12">
        <f>'pH Adjustments'!G8-'pH Adjustments'!G9</f>
        <v>18.32</v>
      </c>
      <c r="R10" s="12">
        <f>'pH Adjustments'!H8-'pH Adjustments'!H9</f>
        <v>0</v>
      </c>
      <c r="S10" s="30">
        <f>'pH Adjustments'!I8-'pH Adjustments'!I9</f>
        <v>0</v>
      </c>
    </row>
    <row r="11" spans="1:19">
      <c r="A11" s="3" t="s">
        <v>94</v>
      </c>
      <c r="B11" s="9">
        <v>9</v>
      </c>
      <c r="C11" s="12">
        <f>100-'pH Adjustments'!C10</f>
        <v>55.5</v>
      </c>
      <c r="D11" s="12">
        <f>100-'pH Adjustments'!D10</f>
        <v>99.95</v>
      </c>
      <c r="E11" s="12">
        <f>100-'pH Adjustments'!E10</f>
        <v>69.95</v>
      </c>
      <c r="F11" s="12">
        <f>100-'pH Adjustments'!F10</f>
        <v>100</v>
      </c>
      <c r="G11" s="12">
        <f>100-'pH Adjustments'!G10</f>
        <v>99.5</v>
      </c>
      <c r="H11" s="12">
        <f>100-'pH Adjustments'!H10</f>
        <v>100</v>
      </c>
      <c r="I11" s="30">
        <f>100-'pH Adjustments'!I10</f>
        <v>100</v>
      </c>
      <c r="K11" s="3" t="s">
        <v>94</v>
      </c>
      <c r="L11" s="9">
        <v>9</v>
      </c>
      <c r="M11" s="12">
        <f>'pH Adjustments'!C9-'pH Adjustments'!C10</f>
        <v>4</v>
      </c>
      <c r="N11" s="12">
        <f>'pH Adjustments'!D9-'pH Adjustments'!D10</f>
        <v>0.08</v>
      </c>
      <c r="O11" s="12">
        <f>'pH Adjustments'!E9-'pH Adjustments'!E10</f>
        <v>17.95</v>
      </c>
      <c r="P11" s="12">
        <f>'pH Adjustments'!F9-'pH Adjustments'!F10</f>
        <v>0</v>
      </c>
      <c r="Q11" s="12">
        <f>'pH Adjustments'!G9-'pH Adjustments'!G10</f>
        <v>32.68</v>
      </c>
      <c r="R11" s="12">
        <f>'pH Adjustments'!H9-'pH Adjustments'!H10</f>
        <v>0</v>
      </c>
      <c r="S11" s="30">
        <f>'pH Adjustments'!I9-'pH Adjustments'!I10</f>
        <v>0</v>
      </c>
    </row>
    <row r="12" spans="1:19">
      <c r="A12" s="4" t="s">
        <v>95</v>
      </c>
      <c r="B12" s="10">
        <v>10</v>
      </c>
      <c r="C12" s="13">
        <f>100-'pH Adjustments'!C11</f>
        <v>60.04</v>
      </c>
      <c r="D12" s="13">
        <f>100-'pH Adjustments'!D11</f>
        <v>99.98</v>
      </c>
      <c r="E12" s="13">
        <f>100-'pH Adjustments'!E11</f>
        <v>99.5</v>
      </c>
      <c r="F12" s="13">
        <f>100-'pH Adjustments'!F11</f>
        <v>100</v>
      </c>
      <c r="G12" s="13">
        <f>100-'pH Adjustments'!G11</f>
        <v>99.9</v>
      </c>
      <c r="H12" s="13">
        <f>100-'pH Adjustments'!H11</f>
        <v>100</v>
      </c>
      <c r="I12" s="31">
        <f>100-'pH Adjustments'!I11</f>
        <v>100</v>
      </c>
      <c r="K12" s="4" t="s">
        <v>95</v>
      </c>
      <c r="L12" s="10">
        <v>10</v>
      </c>
      <c r="M12" s="13">
        <f>'pH Adjustments'!C10-'pH Adjustments'!C11</f>
        <v>4.5399999999999991</v>
      </c>
      <c r="N12" s="13">
        <f>'pH Adjustments'!D10-'pH Adjustments'!D11</f>
        <v>3.0000000000000002E-2</v>
      </c>
      <c r="O12" s="13">
        <f>'pH Adjustments'!E10-'pH Adjustments'!E11</f>
        <v>29.55</v>
      </c>
      <c r="P12" s="13">
        <f>'pH Adjustments'!F10-'pH Adjustments'!F11</f>
        <v>0</v>
      </c>
      <c r="Q12" s="13">
        <f>'pH Adjustments'!G10-'pH Adjustments'!G11</f>
        <v>0.4</v>
      </c>
      <c r="R12" s="13">
        <f>'pH Adjustments'!H10-'pH Adjustments'!H11</f>
        <v>0</v>
      </c>
      <c r="S12" s="31">
        <f>'pH Adjustments'!I10-'pH Adjustments'!I11</f>
        <v>0</v>
      </c>
    </row>
  </sheetData>
  <mergeCells count="3">
    <mergeCell ref="A1:S1"/>
    <mergeCell ref="A3:I3"/>
    <mergeCell ref="K3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7"/>
  <sheetViews>
    <sheetView showGridLines="0" workbookViewId="0">
      <selection activeCell="A14" sqref="A14:I14"/>
    </sheetView>
  </sheetViews>
  <sheetFormatPr defaultRowHeight="13.8"/>
  <cols>
    <col min="1" max="1" width="18" customWidth="1"/>
    <col min="2" max="2" width="8" customWidth="1"/>
    <col min="3" max="8" width="17" customWidth="1"/>
    <col min="9" max="9" width="20" customWidth="1"/>
  </cols>
  <sheetData>
    <row r="1" spans="1:18" ht="30" customHeight="1">
      <c r="A1" s="36" t="s">
        <v>155</v>
      </c>
      <c r="B1" s="36" t="s">
        <v>142</v>
      </c>
      <c r="C1" s="36" t="s">
        <v>142</v>
      </c>
      <c r="D1" s="36" t="s">
        <v>142</v>
      </c>
      <c r="E1" s="36" t="s">
        <v>142</v>
      </c>
      <c r="F1" s="36" t="s">
        <v>142</v>
      </c>
      <c r="G1" s="36" t="s">
        <v>142</v>
      </c>
      <c r="H1" s="36" t="s">
        <v>142</v>
      </c>
      <c r="I1" s="36" t="s">
        <v>142</v>
      </c>
      <c r="J1" s="36" t="s">
        <v>142</v>
      </c>
      <c r="K1" s="36" t="s">
        <v>142</v>
      </c>
      <c r="L1" s="36" t="s">
        <v>142</v>
      </c>
      <c r="M1" s="36" t="s">
        <v>142</v>
      </c>
      <c r="N1" s="36" t="s">
        <v>142</v>
      </c>
      <c r="O1" s="36" t="s">
        <v>142</v>
      </c>
      <c r="P1" s="36" t="s">
        <v>142</v>
      </c>
      <c r="Q1" s="36" t="s">
        <v>142</v>
      </c>
      <c r="R1" s="36" t="s">
        <v>142</v>
      </c>
    </row>
    <row r="5" spans="1:18" ht="31.95" customHeight="1">
      <c r="A5" s="1" t="s">
        <v>80</v>
      </c>
      <c r="B5" s="1" t="s">
        <v>81</v>
      </c>
      <c r="C5" s="1" t="s">
        <v>143</v>
      </c>
      <c r="D5" s="1" t="s">
        <v>144</v>
      </c>
      <c r="E5" s="1" t="s">
        <v>145</v>
      </c>
      <c r="F5" s="1" t="s">
        <v>146</v>
      </c>
      <c r="G5" s="1" t="s">
        <v>147</v>
      </c>
      <c r="H5" s="1" t="s">
        <v>56</v>
      </c>
      <c r="I5" s="1" t="s">
        <v>148</v>
      </c>
    </row>
    <row r="6" spans="1:18">
      <c r="A6" s="2" t="s">
        <v>89</v>
      </c>
      <c r="B6" s="5">
        <v>1.7</v>
      </c>
      <c r="C6" s="32">
        <f>'pH Adjustments'!C5/100</f>
        <v>1</v>
      </c>
      <c r="D6" s="32">
        <f>1-'pH Adjustments'!D5/100</f>
        <v>0</v>
      </c>
      <c r="E6" s="32">
        <f>1-'pH Adjustments'!E5/100</f>
        <v>0</v>
      </c>
      <c r="F6" s="32">
        <f>1-'pH Adjustments'!G5/100</f>
        <v>0</v>
      </c>
      <c r="G6" s="32">
        <f>1-(('Balanced Data'!$I$9*'pH Adjustments'!D5+'Balanced Data'!$J$9*'pH Adjustments'!E5+'Balanced Data'!$K$9*'pH Adjustments'!F5+'Balanced Data'!$L$9*'pH Adjustments'!G5+'Balanced Data'!$M$9*'pH Adjustments'!H5)/(100*SUM('Balanced Data'!$I$9:$M$9)))</f>
        <v>0</v>
      </c>
      <c r="H6" s="32">
        <f>IFERROR('pH Concentrations'!E5/SUM('pH Concentrations'!E5:J5),0)</f>
        <v>0.68059054947255937</v>
      </c>
      <c r="I6" s="24">
        <f>'pH Concentrations'!E5</f>
        <v>22277.003924497996</v>
      </c>
    </row>
    <row r="7" spans="1:18">
      <c r="A7" s="3" t="s">
        <v>90</v>
      </c>
      <c r="B7" s="6">
        <v>5</v>
      </c>
      <c r="C7" s="33">
        <f>'pH Adjustments'!C6/100</f>
        <v>0.63</v>
      </c>
      <c r="D7" s="33">
        <f>1-'pH Adjustments'!D6/100</f>
        <v>0.40500000000000003</v>
      </c>
      <c r="E7" s="33">
        <f>1-'pH Adjustments'!E6/100</f>
        <v>0.37</v>
      </c>
      <c r="F7" s="33">
        <f>1-'pH Adjustments'!G6/100</f>
        <v>0.38</v>
      </c>
      <c r="G7" s="33">
        <f>1-(('Balanced Data'!$I$9*'pH Adjustments'!D6+'Balanced Data'!$J$9*'pH Adjustments'!E6+'Balanced Data'!$K$9*'pH Adjustments'!F6+'Balanced Data'!$L$9*'pH Adjustments'!G6+'Balanced Data'!$M$9*'pH Adjustments'!H6)/(100*SUM('Balanced Data'!$I$9:$M$9)))</f>
        <v>0.42216740631571448</v>
      </c>
      <c r="H7" s="33">
        <f>IFERROR('pH Concentrations'!E6/SUM('pH Concentrations'!E6:J6),0)</f>
        <v>0.69908040799227289</v>
      </c>
      <c r="I7" s="26">
        <f>'pH Concentrations'!E6</f>
        <v>14015.972825838713</v>
      </c>
    </row>
    <row r="8" spans="1:18">
      <c r="A8" s="3" t="s">
        <v>91</v>
      </c>
      <c r="B8" s="6">
        <v>6</v>
      </c>
      <c r="C8" s="33">
        <f>'pH Adjustments'!C7/100</f>
        <v>0.60499999999999998</v>
      </c>
      <c r="D8" s="33">
        <f>1-'pH Adjustments'!D7/100</f>
        <v>0.59179999999999999</v>
      </c>
      <c r="E8" s="33">
        <f>1-'pH Adjustments'!E7/100</f>
        <v>0.39500000000000002</v>
      </c>
      <c r="F8" s="33">
        <f>1-'pH Adjustments'!G7/100</f>
        <v>0.41500000000000004</v>
      </c>
      <c r="G8" s="33">
        <f>1-(('Balanced Data'!$I$9*'pH Adjustments'!D7+'Balanced Data'!$J$9*'pH Adjustments'!E7+'Balanced Data'!$K$9*'pH Adjustments'!F7+'Balanced Data'!$L$9*'pH Adjustments'!G7+'Balanced Data'!$M$9*'pH Adjustments'!H7)/(100*SUM('Balanced Data'!$I$9:$M$9)))</f>
        <v>0.56581738304066398</v>
      </c>
      <c r="H8" s="33">
        <f>IFERROR('pH Concentrations'!E7/SUM('pH Concentrations'!E7:J7),0)</f>
        <v>0.74805209638999826</v>
      </c>
      <c r="I8" s="26">
        <f>'pH Concentrations'!E7</f>
        <v>13468.679517497547</v>
      </c>
    </row>
    <row r="9" spans="1:18">
      <c r="A9" s="3" t="s">
        <v>92</v>
      </c>
      <c r="B9" s="6">
        <v>7</v>
      </c>
      <c r="C9" s="33">
        <f>'pH Adjustments'!C8/100</f>
        <v>0.52500000000000002</v>
      </c>
      <c r="D9" s="33">
        <f>1-'pH Adjustments'!D8/100</f>
        <v>0.77859999999999996</v>
      </c>
      <c r="E9" s="33">
        <f>1-'pH Adjustments'!E8/100</f>
        <v>0.47499999999999998</v>
      </c>
      <c r="F9" s="33">
        <f>1-'pH Adjustments'!G8/100</f>
        <v>0.48499999999999999</v>
      </c>
      <c r="G9" s="33">
        <f>1-(('Balanced Data'!$I$9*'pH Adjustments'!D8+'Balanced Data'!$J$9*'pH Adjustments'!E8+'Balanced Data'!$K$9*'pH Adjustments'!F8+'Balanced Data'!$L$9*'pH Adjustments'!G8+'Balanced Data'!$M$9*'pH Adjustments'!H8)/(100*SUM('Balanced Data'!$I$9:$M$9)))</f>
        <v>0.71943087535032491</v>
      </c>
      <c r="H9" s="33">
        <f>IFERROR('pH Concentrations'!E8/SUM('pH Concentrations'!E8:J8),0)</f>
        <v>0.7994828315770679</v>
      </c>
      <c r="I9" s="26">
        <f>'pH Concentrations'!E8</f>
        <v>11726.449413306704</v>
      </c>
    </row>
    <row r="10" spans="1:18">
      <c r="A10" s="3" t="s">
        <v>93</v>
      </c>
      <c r="B10" s="6">
        <v>8</v>
      </c>
      <c r="C10" s="33">
        <f>'pH Adjustments'!C9/100</f>
        <v>0.48499999999999999</v>
      </c>
      <c r="D10" s="33">
        <f>1-'pH Adjustments'!D9/100</f>
        <v>0.99870000000000003</v>
      </c>
      <c r="E10" s="33">
        <f>1-'pH Adjustments'!E9/100</f>
        <v>0.52</v>
      </c>
      <c r="F10" s="33">
        <f>1-'pH Adjustments'!G9/100</f>
        <v>0.66820000000000002</v>
      </c>
      <c r="G10" s="33">
        <f>1-(('Balanced Data'!$I$9*'pH Adjustments'!D9+'Balanced Data'!$J$9*'pH Adjustments'!E9+'Balanced Data'!$K$9*'pH Adjustments'!F9+'Balanced Data'!$L$9*'pH Adjustments'!G9+'Balanced Data'!$M$9*'pH Adjustments'!H9)/(100*SUM('Balanced Data'!$I$9:$M$9)))</f>
        <v>0.90867045680426162</v>
      </c>
      <c r="H10" s="33">
        <f>IFERROR('pH Concentrations'!E9/SUM('pH Concentrations'!E9:J9),0)</f>
        <v>0.91880062676425411</v>
      </c>
      <c r="I10" s="26">
        <f>'pH Concentrations'!E9</f>
        <v>10811.497364601502</v>
      </c>
    </row>
    <row r="11" spans="1:18">
      <c r="A11" s="3" t="s">
        <v>94</v>
      </c>
      <c r="B11" s="6">
        <v>9</v>
      </c>
      <c r="C11" s="33">
        <f>'pH Adjustments'!C10/100</f>
        <v>0.44500000000000001</v>
      </c>
      <c r="D11" s="33">
        <f>1-'pH Adjustments'!D10/100</f>
        <v>0.99950000000000006</v>
      </c>
      <c r="E11" s="33">
        <f>1-'pH Adjustments'!E10/100</f>
        <v>0.69950000000000001</v>
      </c>
      <c r="F11" s="33">
        <f>1-'pH Adjustments'!G10/100</f>
        <v>0.995</v>
      </c>
      <c r="G11" s="33">
        <f>1-(('Balanced Data'!$I$9*'pH Adjustments'!D10+'Balanced Data'!$J$9*'pH Adjustments'!E10+'Balanced Data'!$K$9*'pH Adjustments'!F10+'Balanced Data'!$L$9*'pH Adjustments'!G10+'Balanced Data'!$M$9*'pH Adjustments'!H10)/(100*SUM('Balanced Data'!$I$9:$M$9)))</f>
        <v>0.96940252194630938</v>
      </c>
      <c r="H11" s="33">
        <f>IFERROR('pH Concentrations'!E10/SUM('pH Concentrations'!E10:J10),0)</f>
        <v>0.96873960065137243</v>
      </c>
      <c r="I11" s="26">
        <f>'pH Concentrations'!E10</f>
        <v>9952.7618330406603</v>
      </c>
    </row>
    <row r="12" spans="1:18">
      <c r="A12" s="4" t="s">
        <v>95</v>
      </c>
      <c r="B12" s="7">
        <v>10</v>
      </c>
      <c r="C12" s="34">
        <f>'pH Adjustments'!C11/100</f>
        <v>0.39960000000000001</v>
      </c>
      <c r="D12" s="34">
        <f>1-'pH Adjustments'!D11/100</f>
        <v>0.99980000000000002</v>
      </c>
      <c r="E12" s="34">
        <f>1-'pH Adjustments'!E11/100</f>
        <v>0.995</v>
      </c>
      <c r="F12" s="34">
        <f>1-'pH Adjustments'!G11/100</f>
        <v>0.999</v>
      </c>
      <c r="G12" s="34">
        <f>1-(('Balanced Data'!$I$9*'pH Adjustments'!D11+'Balanced Data'!$J$9*'pH Adjustments'!E11+'Balanced Data'!$K$9*'pH Adjustments'!F11+'Balanced Data'!$L$9*'pH Adjustments'!G11+'Balanced Data'!$M$9*'pH Adjustments'!H11)/(100*SUM('Balanced Data'!$I$9:$M$9)))</f>
        <v>0.99923151710835023</v>
      </c>
      <c r="H12" s="34">
        <f>IFERROR('pH Concentrations'!E11/SUM('pH Concentrations'!E11:J11),0)</f>
        <v>0.99909826531249801</v>
      </c>
      <c r="I12" s="28">
        <f>'pH Concentrations'!E11</f>
        <v>8961.1576841297283</v>
      </c>
    </row>
    <row r="14" spans="1:18" ht="31.95" customHeight="1">
      <c r="A14" s="37" t="s">
        <v>157</v>
      </c>
      <c r="B14" s="37"/>
      <c r="C14" s="37"/>
      <c r="D14" s="37"/>
      <c r="E14" s="37"/>
      <c r="F14" s="37"/>
      <c r="G14" s="37"/>
      <c r="H14" s="37"/>
      <c r="I14" s="37"/>
    </row>
    <row r="15" spans="1:18">
      <c r="A15" s="49" t="s">
        <v>156</v>
      </c>
      <c r="B15" s="50"/>
      <c r="C15" s="50"/>
      <c r="D15" s="50"/>
      <c r="E15" s="50"/>
      <c r="F15" s="50"/>
      <c r="G15" s="50"/>
      <c r="H15" s="50"/>
      <c r="I15" s="51"/>
    </row>
    <row r="16" spans="1:18">
      <c r="A16" s="52"/>
      <c r="B16" s="53"/>
      <c r="C16" s="53"/>
      <c r="D16" s="53"/>
      <c r="E16" s="53"/>
      <c r="F16" s="53"/>
      <c r="G16" s="53"/>
      <c r="H16" s="53"/>
      <c r="I16" s="54"/>
    </row>
    <row r="17" spans="1:9">
      <c r="A17" s="55"/>
      <c r="B17" s="56"/>
      <c r="C17" s="56"/>
      <c r="D17" s="56"/>
      <c r="E17" s="56"/>
      <c r="F17" s="56"/>
      <c r="G17" s="56"/>
      <c r="H17" s="56"/>
      <c r="I17" s="57"/>
    </row>
  </sheetData>
  <mergeCells count="3">
    <mergeCell ref="A1:R1"/>
    <mergeCell ref="A14:I14"/>
    <mergeCell ref="A15:I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BOF Dataset</vt:lpstr>
      <vt:lpstr>Balanced Data</vt:lpstr>
      <vt:lpstr>Recovery &amp; Selectivity</vt:lpstr>
      <vt:lpstr>pH Method</vt:lpstr>
      <vt:lpstr>pH Adjustments</vt:lpstr>
      <vt:lpstr>pH Concentrations</vt:lpstr>
      <vt:lpstr>pH Precipitation</vt:lpstr>
      <vt:lpstr>pH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2026-08-14T16:09:24Z</dcterms:modified>
</cp:coreProperties>
</file>