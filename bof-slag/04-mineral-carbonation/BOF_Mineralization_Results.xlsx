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Pardis\Downloads\"/>
    </mc:Choice>
  </mc:AlternateContent>
  <xr:revisionPtr revIDLastSave="0" documentId="13_ncr:1_{959C221B-35D5-4AEB-BF1F-95D4C676434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ADME" sheetId="1" r:id="rId1"/>
    <sheet name="Inputs" sheetId="2" r:id="rId2"/>
    <sheet name="Calculations" sheetId="3" r:id="rId3"/>
    <sheet name="Chart Data" sheetId="4" r:id="rId4"/>
    <sheet name="Dashboard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" i="4" l="1"/>
  <c r="H6" i="4"/>
  <c r="D21" i="3"/>
  <c r="G21" i="3" s="1"/>
  <c r="D15" i="3"/>
  <c r="I6" i="5" s="1"/>
  <c r="D6" i="3"/>
  <c r="D16" i="3" s="1"/>
  <c r="G6" i="3" l="1"/>
  <c r="D7" i="3"/>
  <c r="D8" i="3" s="1"/>
  <c r="G8" i="3" s="1"/>
  <c r="G16" i="3"/>
  <c r="B15" i="4"/>
  <c r="D9" i="3"/>
  <c r="D11" i="3"/>
  <c r="H8" i="4"/>
  <c r="G7" i="3"/>
  <c r="G15" i="3"/>
  <c r="D10" i="3" l="1"/>
  <c r="G9" i="3"/>
  <c r="B6" i="4"/>
  <c r="D12" i="3"/>
  <c r="G11" i="3"/>
  <c r="D17" i="3" l="1"/>
  <c r="E13" i="4"/>
  <c r="G10" i="3"/>
  <c r="B7" i="4"/>
  <c r="D13" i="3"/>
  <c r="G12" i="3"/>
  <c r="D19" i="3"/>
  <c r="G17" i="3" l="1"/>
  <c r="D18" i="3"/>
  <c r="D22" i="3"/>
  <c r="A6" i="5"/>
  <c r="D14" i="3"/>
  <c r="G13" i="3"/>
  <c r="B13" i="4"/>
  <c r="B14" i="4" s="1"/>
  <c r="D20" i="3"/>
  <c r="B8" i="4"/>
  <c r="A11" i="5" l="1"/>
  <c r="D23" i="3"/>
  <c r="E14" i="4"/>
  <c r="E15" i="4" s="1"/>
  <c r="G20" i="3"/>
  <c r="E6" i="5"/>
  <c r="G14" i="3"/>
  <c r="G19" i="3"/>
  <c r="E6" i="4"/>
  <c r="G22" i="3"/>
  <c r="I11" i="5"/>
  <c r="G18" i="3"/>
  <c r="G23" i="3" l="1"/>
  <c r="E7" i="4"/>
  <c r="E11" i="5"/>
</calcChain>
</file>

<file path=xl/sharedStrings.xml><?xml version="1.0" encoding="utf-8"?>
<sst xmlns="http://schemas.openxmlformats.org/spreadsheetml/2006/main" count="239" uniqueCount="168">
  <si>
    <t>BOF Slag Mineralization</t>
  </si>
  <si>
    <t>Final process stage after pH-swing impurity removal: carbonate generation, CaCO3 precipitation, solid recovery, and CO2 storage.</t>
  </si>
  <si>
    <t>Process overview</t>
  </si>
  <si>
    <t>Chemical reactions</t>
  </si>
  <si>
    <t>Carbonate generation</t>
  </si>
  <si>
    <t>2NaOH(aq) + CO2(g) -&gt; Na2CO3(aq) + H2O(l)</t>
  </si>
  <si>
    <t>Molecular precipitation</t>
  </si>
  <si>
    <t>CaCl2(aq) + Na2CO3(aq) -&gt; CaCO3(s) + 2NaCl(aq)</t>
  </si>
  <si>
    <t>Net ionic precipitation</t>
  </si>
  <si>
    <t>Ca2+(aq) + CO3^2-(aq) -&gt; CaCO3(s)</t>
  </si>
  <si>
    <t>General divalent-ion reaction</t>
  </si>
  <si>
    <t>M2+(aq) + CO3^2-(aq) -&gt; MCO3(s)</t>
  </si>
  <si>
    <t>Core performance equations</t>
  </si>
  <si>
    <t>CO2 stored in recovered product</t>
  </si>
  <si>
    <t>m(CO2) = m(dry product) x CaCO3 purity x [M(CO2) / M(CaCO3)]</t>
  </si>
  <si>
    <t>Equivalent slag mass</t>
  </si>
  <si>
    <t>m(slag equivalent) = m(slag test) x [V(purified solution) / V(extraction leachate)]</t>
  </si>
  <si>
    <t>CO2 storage capacity</t>
  </si>
  <si>
    <t>CO2 capacity (kg/t slag) = [m(CO2 stored) / m(slag equivalent)] x 1000</t>
  </si>
  <si>
    <t>Overall Ca-to-CaCO3 recovery</t>
  </si>
  <si>
    <t>Recovery (%) = CaCO3 recovered / CaCO3 theoretical x 100</t>
  </si>
  <si>
    <t>Chart Data</t>
  </si>
  <si>
    <t>Mineralization Inputs</t>
  </si>
  <si>
    <t>ID</t>
  </si>
  <si>
    <t>Input parameter</t>
  </si>
  <si>
    <t>Value</t>
  </si>
  <si>
    <t>Unit</t>
  </si>
  <si>
    <t>Basis / note</t>
  </si>
  <si>
    <t>Data status</t>
  </si>
  <si>
    <t>I01</t>
  </si>
  <si>
    <t>Purified BOF solution volume</t>
  </si>
  <si>
    <t>L</t>
  </si>
  <si>
    <t>Final purified solution from pH swing</t>
  </si>
  <si>
    <t>Measured</t>
  </si>
  <si>
    <t>I02</t>
  </si>
  <si>
    <t>Calcium concentration</t>
  </si>
  <si>
    <t>g/L</t>
  </si>
  <si>
    <t>ICP concentration in purified solution</t>
  </si>
  <si>
    <t>I03</t>
  </si>
  <si>
    <t>Na2CO3 concentration</t>
  </si>
  <si>
    <t>mol/L</t>
  </si>
  <si>
    <t>Generated from CO2 and 2 M NaOH</t>
  </si>
  <si>
    <t>Process</t>
  </si>
  <si>
    <t>I04</t>
  </si>
  <si>
    <t>Carbonate excess</t>
  </si>
  <si>
    <t>fraction</t>
  </si>
  <si>
    <t>Excess above stoichiometric requirement</t>
  </si>
  <si>
    <t>I05</t>
  </si>
  <si>
    <t>Calcium precipitation efficiency</t>
  </si>
  <si>
    <t>Fraction of dissolved Ca precipitated</t>
  </si>
  <si>
    <t>I06</t>
  </si>
  <si>
    <t>Solid recovery</t>
  </si>
  <si>
    <t>Recovered fraction after S/L separation</t>
  </si>
  <si>
    <t>I07</t>
  </si>
  <si>
    <t>CaCO3 purity in dry product</t>
  </si>
  <si>
    <t>Mass fraction of CaCO3 in recovered solid</t>
  </si>
  <si>
    <t>I08</t>
  </si>
  <si>
    <t>BOF slag mass used in extraction</t>
  </si>
  <si>
    <t>g</t>
  </si>
  <si>
    <t>Original extraction basis</t>
  </si>
  <si>
    <t>I09</t>
  </si>
  <si>
    <t>Extraction leachate volume</t>
  </si>
  <si>
    <t>Leachate produced from the slag test</t>
  </si>
  <si>
    <t>I10</t>
  </si>
  <si>
    <t>Molar mass of Ca</t>
  </si>
  <si>
    <t>g/mol</t>
  </si>
  <si>
    <t>Atomic molar mass</t>
  </si>
  <si>
    <t>Constant</t>
  </si>
  <si>
    <t>I11</t>
  </si>
  <si>
    <t>Molar mass of CaCO3</t>
  </si>
  <si>
    <t>Formula molar mass</t>
  </si>
  <si>
    <t>I12</t>
  </si>
  <si>
    <t>Molar mass of CO2</t>
  </si>
  <si>
    <t>Stoichiometry and Mass Balance</t>
  </si>
  <si>
    <t>All result cells are linked to the editable Inputs sheet; no output is manually entered.</t>
  </si>
  <si>
    <t>Step</t>
  </si>
  <si>
    <t>Calculated quantity</t>
  </si>
  <si>
    <t>Formula / relationship</t>
  </si>
  <si>
    <t>Result</t>
  </si>
  <si>
    <t>Interpretation</t>
  </si>
  <si>
    <t>Check</t>
  </si>
  <si>
    <t>Calcium mass in purified solution</t>
  </si>
  <si>
    <t>solution volume x Ca concentration</t>
  </si>
  <si>
    <t>Total Ca available for mineralization</t>
  </si>
  <si>
    <t>Moles of dissolved calcium</t>
  </si>
  <si>
    <t>Ca mass / M(Ca)</t>
  </si>
  <si>
    <t>mol</t>
  </si>
  <si>
    <t>1:1 with carbonate</t>
  </si>
  <si>
    <t>Stoichiometric carbonate requirement</t>
  </si>
  <si>
    <t>1 mol CO3^2- per mol Ca2+</t>
  </si>
  <si>
    <t>Minimum carbonate moles</t>
  </si>
  <si>
    <t>Stoichiometric Na2CO3 volume</t>
  </si>
  <si>
    <t>carbonate moles / Na2CO3 concentration</t>
  </si>
  <si>
    <t>223.9 mL on the current basis</t>
  </si>
  <si>
    <t>Actual Na2CO3 volume added</t>
  </si>
  <si>
    <t>stoichiometric volume x (1 + excess)</t>
  </si>
  <si>
    <t>Includes 5% carbonate excess</t>
  </si>
  <si>
    <t>Theoretical CaCO3</t>
  </si>
  <si>
    <t>Ca moles x M(CaCO3)</t>
  </si>
  <si>
    <t>Maximum CaCO3 from dissolved Ca</t>
  </si>
  <si>
    <t>CaCO3 formed before separation</t>
  </si>
  <si>
    <t>theoretical CaCO3 x precipitation efficiency</t>
  </si>
  <si>
    <t>After precipitation efficiency</t>
  </si>
  <si>
    <t>Recovered CaCO3 in product</t>
  </si>
  <si>
    <t>formed CaCO3 x solid recovery</t>
  </si>
  <si>
    <t>After solid-liquid separation</t>
  </si>
  <si>
    <t>Recovered dry precipitate</t>
  </si>
  <si>
    <t>recovered CaCO3 / product purity</t>
  </si>
  <si>
    <t>Includes non-CaCO3 fraction</t>
  </si>
  <si>
    <t>precipitation efficiency x solid recovery</t>
  </si>
  <si>
    <t>%</t>
  </si>
  <si>
    <t>Combined precipitation and recovery</t>
  </si>
  <si>
    <t>Remaining dissolved calcium</t>
  </si>
  <si>
    <t>initial Ca x (1 - precipitation efficiency)</t>
  </si>
  <si>
    <t>Calcium retained in solution</t>
  </si>
  <si>
    <t>Final liquid volume</t>
  </si>
  <si>
    <t>solution volume + carbonate solution volume</t>
  </si>
  <si>
    <t>Used for residual concentration</t>
  </si>
  <si>
    <t>Residual dissolved Ca concentration</t>
  </si>
  <si>
    <t>remaining dissolved Ca / final liquid volume</t>
  </si>
  <si>
    <t>mg/L</t>
  </si>
  <si>
    <t>Predicted final dissolved Ca</t>
  </si>
  <si>
    <t>CO2 stored before separation</t>
  </si>
  <si>
    <t>formed CaCO3 x M(CO2)/M(CaCO3)</t>
  </si>
  <si>
    <t>Carbon mineralized before S/L loss</t>
  </si>
  <si>
    <t>recovered CaCO3 x M(CO2)/M(CaCO3)</t>
  </si>
  <si>
    <t>Carbon retained in recovered product</t>
  </si>
  <si>
    <t>Equivalent BOF slag mass</t>
  </si>
  <si>
    <t>slag mass x solution volume / extraction volume</t>
  </si>
  <si>
    <t>g slag</t>
  </si>
  <si>
    <t>Slag represented by 1 L solution</t>
  </si>
  <si>
    <t>CO2 capacity before separation</t>
  </si>
  <si>
    <t>CO2 before separation / equivalent slag mass x 1000</t>
  </si>
  <si>
    <t>kg CO2/t slag</t>
  </si>
  <si>
    <t>Intrinsic mineralization performance</t>
  </si>
  <si>
    <t>Recovered CO2 storage capacity</t>
  </si>
  <si>
    <t>CO2 in product / equivalent slag mass x 1000</t>
  </si>
  <si>
    <t>Final recovered-product performance</t>
  </si>
  <si>
    <t>Formula-linked helper tables used by the Dashboard figures.</t>
  </si>
  <si>
    <t>CaCO3 stage</t>
  </si>
  <si>
    <t>Mass (g)</t>
  </si>
  <si>
    <t>CO2 capacity basis</t>
  </si>
  <si>
    <t>Efficiency</t>
  </si>
  <si>
    <t>Theoretical</t>
  </si>
  <si>
    <t>Before separation</t>
  </si>
  <si>
    <t>Ca precipitation</t>
  </si>
  <si>
    <t>Formed before S/L</t>
  </si>
  <si>
    <t>Recovered product</t>
  </si>
  <si>
    <t>Recovered in product</t>
  </si>
  <si>
    <t>Overall recovery</t>
  </si>
  <si>
    <t>Calcium destination</t>
  </si>
  <si>
    <t>Ca mass (g)</t>
  </si>
  <si>
    <t>Carbonate / CO2 metric</t>
  </si>
  <si>
    <t>CO2 supplied in carbonate (g)</t>
  </si>
  <si>
    <t>Separation loss</t>
  </si>
  <si>
    <t>CO2 stored in product (g)</t>
  </si>
  <si>
    <t>Dissolved residual</t>
  </si>
  <si>
    <t>Carbonate-to-product utilization (%)</t>
  </si>
  <si>
    <t>BOF Mineralization Dashboard</t>
  </si>
  <si>
    <t>Recovered CaCO3</t>
  </si>
  <si>
    <t>Recovered dry product</t>
  </si>
  <si>
    <t>CO2 stored</t>
  </si>
  <si>
    <t>Recovered CO2 capacity</t>
  </si>
  <si>
    <t>Residual dissolved Ca</t>
  </si>
  <si>
    <t>Performance basis: 1.000 L purified solution corresponds to 66.67 g BOF slag from the 10 g / 0.150 L extraction basis. Charts are linked to the Inputs and Calculations sheets.</t>
  </si>
  <si>
    <t xml:space="preserve">A purified Ca-rich BOF leachate is mineralized using carbonate generated by reacting CO2 with 2 M NaOH. The resulting Na2CO3 solution supplies carbonate ions, which precipitate dissolved Ca2+ as CaCO3. The precipitate is separated, dried, and quantified. </t>
  </si>
  <si>
    <t>Yellow cells are editable.</t>
  </si>
  <si>
    <t>Summary for 1.000 L of purified BOF solution.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</si>
</sst>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0000"/>
    <numFmt numFmtId="165" formatCode="0.0%"/>
    <numFmt numFmtId="166" formatCode="0.000"/>
    <numFmt numFmtId="167" formatCode="0.0"/>
    <numFmt numFmtId="168" formatCode="0.00&quot; g&quot;"/>
    <numFmt numFmtId="169" formatCode="0.0%&quot;&quot;"/>
    <numFmt numFmtId="170" formatCode="0.0&quot; kg/t&quot;"/>
    <numFmt numFmtId="171" formatCode="0&quot; mg/L&quot;"/>
  </numFmts>
  <fonts count="16">
    <font>
      <sz val="11"/>
      <name val="Carlito"/>
    </font>
    <font>
      <b/>
      <sz val="20"/>
      <color rgb="FFFFFFFF"/>
      <name val="Arial"/>
      <family val="2"/>
    </font>
    <font>
      <i/>
      <sz val="10"/>
      <color rgb="FF1F4E78"/>
      <name val="Arial"/>
      <family val="2"/>
    </font>
    <font>
      <b/>
      <sz val="11"/>
      <color rgb="FFFFFFFF"/>
      <name val="Arial"/>
      <family val="2"/>
    </font>
    <font>
      <sz val="10"/>
      <color rgb="FF1F1F1F"/>
      <name val="Arial"/>
      <family val="2"/>
    </font>
    <font>
      <sz val="11"/>
      <name val="Arial"/>
      <family val="2"/>
    </font>
    <font>
      <b/>
      <sz val="10"/>
      <color rgb="FF1F4E78"/>
      <name val="Arial"/>
      <family val="2"/>
    </font>
    <font>
      <sz val="10"/>
      <name val="Arial"/>
      <family val="2"/>
    </font>
    <font>
      <b/>
      <sz val="10"/>
      <color rgb="FFFFFFFF"/>
      <name val="Arial"/>
      <family val="2"/>
    </font>
    <font>
      <b/>
      <sz val="10"/>
      <color rgb="FF1F1F1F"/>
      <name val="Arial"/>
      <family val="2"/>
    </font>
    <font>
      <i/>
      <sz val="9"/>
      <color rgb="FF1F4E78"/>
      <name val="Arial"/>
      <family val="2"/>
    </font>
    <font>
      <b/>
      <sz val="9"/>
      <color rgb="FF70AD47"/>
      <name val="Arial"/>
      <family val="2"/>
    </font>
    <font>
      <b/>
      <sz val="20"/>
      <color rgb="FF70AD47"/>
      <name val="Arial"/>
      <family val="2"/>
    </font>
    <font>
      <b/>
      <sz val="20"/>
      <color rgb="FF5B9BD5"/>
      <name val="Arial"/>
      <family val="2"/>
    </font>
    <font>
      <b/>
      <sz val="20"/>
      <color rgb="FFED7D31"/>
      <name val="Arial"/>
      <family val="2"/>
    </font>
    <font>
      <b/>
      <sz val="20"/>
      <color rgb="FF1F4E78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5B9BD5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70AD47"/>
      </patternFill>
    </fill>
    <fill>
      <patternFill patternType="solid">
        <fgColor rgb="FFED7D31"/>
      </patternFill>
    </fill>
  </fills>
  <borders count="43">
    <border>
      <left/>
      <right/>
      <top/>
      <bottom/>
      <diagonal/>
    </border>
    <border>
      <left style="thin">
        <color rgb="FFB4C7E7"/>
      </left>
      <right/>
      <top style="thin">
        <color rgb="FFB4C7E7"/>
      </top>
      <bottom/>
      <diagonal/>
    </border>
    <border>
      <left/>
      <right/>
      <top style="thin">
        <color rgb="FFB4C7E7"/>
      </top>
      <bottom/>
      <diagonal/>
    </border>
    <border>
      <left/>
      <right style="thin">
        <color rgb="FFB4C7E7"/>
      </right>
      <top style="thin">
        <color rgb="FFB4C7E7"/>
      </top>
      <bottom/>
      <diagonal/>
    </border>
    <border>
      <left style="thin">
        <color rgb="FFB4C7E7"/>
      </left>
      <right/>
      <top/>
      <bottom/>
      <diagonal/>
    </border>
    <border>
      <left/>
      <right style="thin">
        <color rgb="FFB4C7E7"/>
      </right>
      <top/>
      <bottom/>
      <diagonal/>
    </border>
    <border>
      <left style="thin">
        <color rgb="FFB4C7E7"/>
      </left>
      <right/>
      <top/>
      <bottom style="thin">
        <color rgb="FFB4C7E7"/>
      </bottom>
      <diagonal/>
    </border>
    <border>
      <left/>
      <right/>
      <top/>
      <bottom style="thin">
        <color rgb="FFB4C7E7"/>
      </bottom>
      <diagonal/>
    </border>
    <border>
      <left/>
      <right style="thin">
        <color rgb="FFB4C7E7"/>
      </right>
      <top/>
      <bottom style="thin">
        <color rgb="FFB4C7E7"/>
      </bottom>
      <diagonal/>
    </border>
    <border>
      <left style="thin">
        <color rgb="FFB4C7E7"/>
      </left>
      <right style="thin">
        <color rgb="FFB4C7E7"/>
      </right>
      <top style="thin">
        <color rgb="FFB4C7E7"/>
      </top>
      <bottom style="thin">
        <color rgb="FFB4C7E7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medium">
        <color rgb="FF70AD47"/>
      </left>
      <right/>
      <top style="medium">
        <color rgb="FF70AD47"/>
      </top>
      <bottom/>
      <diagonal/>
    </border>
    <border>
      <left/>
      <right/>
      <top style="medium">
        <color rgb="FF70AD47"/>
      </top>
      <bottom/>
      <diagonal/>
    </border>
    <border>
      <left/>
      <right style="medium">
        <color rgb="FF70AD47"/>
      </right>
      <top style="medium">
        <color rgb="FF70AD47"/>
      </top>
      <bottom/>
      <diagonal/>
    </border>
    <border>
      <left style="medium">
        <color rgb="FF70AD47"/>
      </left>
      <right/>
      <top/>
      <bottom/>
      <diagonal/>
    </border>
    <border>
      <left/>
      <right style="medium">
        <color rgb="FF70AD47"/>
      </right>
      <top/>
      <bottom/>
      <diagonal/>
    </border>
    <border>
      <left style="medium">
        <color rgb="FF70AD47"/>
      </left>
      <right/>
      <top/>
      <bottom style="medium">
        <color rgb="FF70AD47"/>
      </bottom>
      <diagonal/>
    </border>
    <border>
      <left/>
      <right/>
      <top/>
      <bottom style="medium">
        <color rgb="FF70AD47"/>
      </bottom>
      <diagonal/>
    </border>
    <border>
      <left/>
      <right style="medium">
        <color rgb="FF70AD47"/>
      </right>
      <top/>
      <bottom style="medium">
        <color rgb="FF70AD47"/>
      </bottom>
      <diagonal/>
    </border>
    <border>
      <left style="medium">
        <color rgb="FF5B9BD5"/>
      </left>
      <right/>
      <top style="medium">
        <color rgb="FF5B9BD5"/>
      </top>
      <bottom/>
      <diagonal/>
    </border>
    <border>
      <left/>
      <right/>
      <top style="medium">
        <color rgb="FF5B9BD5"/>
      </top>
      <bottom/>
      <diagonal/>
    </border>
    <border>
      <left/>
      <right style="medium">
        <color rgb="FF5B9BD5"/>
      </right>
      <top style="medium">
        <color rgb="FF5B9BD5"/>
      </top>
      <bottom/>
      <diagonal/>
    </border>
    <border>
      <left style="medium">
        <color rgb="FF5B9BD5"/>
      </left>
      <right/>
      <top/>
      <bottom/>
      <diagonal/>
    </border>
    <border>
      <left/>
      <right style="medium">
        <color rgb="FF5B9BD5"/>
      </right>
      <top/>
      <bottom/>
      <diagonal/>
    </border>
    <border>
      <left style="medium">
        <color rgb="FF5B9BD5"/>
      </left>
      <right/>
      <top/>
      <bottom style="medium">
        <color rgb="FF5B9BD5"/>
      </bottom>
      <diagonal/>
    </border>
    <border>
      <left/>
      <right/>
      <top/>
      <bottom style="medium">
        <color rgb="FF5B9BD5"/>
      </bottom>
      <diagonal/>
    </border>
    <border>
      <left/>
      <right style="medium">
        <color rgb="FF5B9BD5"/>
      </right>
      <top/>
      <bottom style="medium">
        <color rgb="FF5B9BD5"/>
      </bottom>
      <diagonal/>
    </border>
    <border>
      <left style="medium">
        <color rgb="FFED7D31"/>
      </left>
      <right/>
      <top style="medium">
        <color rgb="FFED7D31"/>
      </top>
      <bottom/>
      <diagonal/>
    </border>
    <border>
      <left/>
      <right/>
      <top style="medium">
        <color rgb="FFED7D31"/>
      </top>
      <bottom/>
      <diagonal/>
    </border>
    <border>
      <left/>
      <right style="medium">
        <color rgb="FFED7D31"/>
      </right>
      <top style="medium">
        <color rgb="FFED7D31"/>
      </top>
      <bottom/>
      <diagonal/>
    </border>
    <border>
      <left style="medium">
        <color rgb="FFED7D31"/>
      </left>
      <right/>
      <top/>
      <bottom/>
      <diagonal/>
    </border>
    <border>
      <left/>
      <right style="medium">
        <color rgb="FFED7D31"/>
      </right>
      <top/>
      <bottom/>
      <diagonal/>
    </border>
    <border>
      <left style="medium">
        <color rgb="FFED7D31"/>
      </left>
      <right/>
      <top/>
      <bottom style="medium">
        <color rgb="FFED7D31"/>
      </bottom>
      <diagonal/>
    </border>
    <border>
      <left/>
      <right/>
      <top/>
      <bottom style="medium">
        <color rgb="FFED7D31"/>
      </bottom>
      <diagonal/>
    </border>
    <border>
      <left/>
      <right style="medium">
        <color rgb="FFED7D31"/>
      </right>
      <top/>
      <bottom style="medium">
        <color rgb="FFED7D31"/>
      </bottom>
      <diagonal/>
    </border>
    <border>
      <left style="medium">
        <color rgb="FF1F4E78"/>
      </left>
      <right/>
      <top style="medium">
        <color rgb="FF1F4E78"/>
      </top>
      <bottom/>
      <diagonal/>
    </border>
    <border>
      <left/>
      <right/>
      <top style="medium">
        <color rgb="FF1F4E78"/>
      </top>
      <bottom/>
      <diagonal/>
    </border>
    <border>
      <left/>
      <right style="medium">
        <color rgb="FF1F4E78"/>
      </right>
      <top style="medium">
        <color rgb="FF1F4E78"/>
      </top>
      <bottom/>
      <diagonal/>
    </border>
    <border>
      <left style="medium">
        <color rgb="FF1F4E78"/>
      </left>
      <right/>
      <top/>
      <bottom/>
      <diagonal/>
    </border>
    <border>
      <left/>
      <right style="medium">
        <color rgb="FF1F4E78"/>
      </right>
      <top/>
      <bottom/>
      <diagonal/>
    </border>
    <border>
      <left style="medium">
        <color rgb="FF1F4E78"/>
      </left>
      <right/>
      <top/>
      <bottom style="medium">
        <color rgb="FF1F4E78"/>
      </bottom>
      <diagonal/>
    </border>
    <border>
      <left/>
      <right/>
      <top/>
      <bottom style="medium">
        <color rgb="FF1F4E78"/>
      </bottom>
      <diagonal/>
    </border>
    <border>
      <left/>
      <right style="medium">
        <color rgb="FF1F4E78"/>
      </right>
      <top/>
      <bottom style="medium">
        <color rgb="FF1F4E78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5" fillId="0" borderId="9" xfId="0" applyNumberFormat="1" applyFont="1" applyFill="1" applyBorder="1" applyAlignment="1">
      <alignment vertical="center" wrapText="1"/>
    </xf>
    <xf numFmtId="0" fontId="6" fillId="5" borderId="9" xfId="0" applyNumberFormat="1" applyFont="1" applyFill="1" applyBorder="1" applyAlignment="1">
      <alignment vertical="center" wrapText="1"/>
    </xf>
    <xf numFmtId="0" fontId="7" fillId="0" borderId="9" xfId="0" applyNumberFormat="1" applyFont="1" applyFill="1" applyBorder="1" applyAlignment="1">
      <alignment vertical="center" wrapText="1"/>
    </xf>
    <xf numFmtId="0" fontId="8" fillId="6" borderId="9" xfId="0" applyNumberFormat="1" applyFont="1" applyFill="1" applyBorder="1" applyAlignment="1">
      <alignment horizontal="center" vertical="center" wrapText="1"/>
    </xf>
    <xf numFmtId="0" fontId="4" fillId="0" borderId="10" xfId="0" applyNumberFormat="1" applyFont="1" applyFill="1" applyBorder="1" applyAlignment="1">
      <alignment vertical="center"/>
    </xf>
    <xf numFmtId="0" fontId="11" fillId="5" borderId="10" xfId="0" applyNumberFormat="1" applyFont="1" applyFill="1" applyBorder="1" applyAlignment="1">
      <alignment horizontal="center" vertical="center"/>
    </xf>
    <xf numFmtId="2" fontId="4" fillId="0" borderId="10" xfId="0" applyNumberFormat="1" applyFont="1" applyFill="1" applyBorder="1" applyAlignment="1">
      <alignment vertical="center"/>
    </xf>
    <xf numFmtId="167" fontId="4" fillId="0" borderId="10" xfId="0" applyNumberFormat="1" applyFont="1" applyFill="1" applyBorder="1" applyAlignment="1">
      <alignment vertical="center"/>
    </xf>
    <xf numFmtId="166" fontId="4" fillId="0" borderId="10" xfId="0" applyNumberFormat="1" applyFont="1" applyFill="1" applyBorder="1" applyAlignment="1">
      <alignment vertical="center"/>
    </xf>
    <xf numFmtId="0" fontId="1" fillId="2" borderId="0" xfId="0" applyNumberFormat="1" applyFont="1" applyFill="1" applyBorder="1" applyAlignment="1">
      <alignment horizontal="left" vertical="center"/>
    </xf>
    <xf numFmtId="0" fontId="2" fillId="3" borderId="0" xfId="0" applyNumberFormat="1" applyFont="1" applyFill="1" applyBorder="1" applyAlignment="1">
      <alignment vertical="center" wrapText="1"/>
    </xf>
    <xf numFmtId="0" fontId="3" fillId="2" borderId="0" xfId="0" applyNumberFormat="1" applyFont="1" applyFill="1" applyBorder="1" applyAlignment="1">
      <alignment vertical="center"/>
    </xf>
    <xf numFmtId="0" fontId="4" fillId="4" borderId="1" xfId="0" applyNumberFormat="1" applyFont="1" applyFill="1" applyBorder="1" applyAlignment="1">
      <alignment vertical="top" wrapText="1"/>
    </xf>
    <xf numFmtId="0" fontId="4" fillId="4" borderId="2" xfId="0" applyNumberFormat="1" applyFont="1" applyFill="1" applyBorder="1" applyAlignment="1">
      <alignment vertical="top" wrapText="1"/>
    </xf>
    <xf numFmtId="0" fontId="4" fillId="4" borderId="3" xfId="0" applyNumberFormat="1" applyFont="1" applyFill="1" applyBorder="1" applyAlignment="1">
      <alignment vertical="top" wrapText="1"/>
    </xf>
    <xf numFmtId="0" fontId="4" fillId="4" borderId="4" xfId="0" applyNumberFormat="1" applyFont="1" applyFill="1" applyBorder="1" applyAlignment="1">
      <alignment vertical="top" wrapText="1"/>
    </xf>
    <xf numFmtId="0" fontId="4" fillId="4" borderId="0" xfId="0" applyNumberFormat="1" applyFont="1" applyFill="1" applyBorder="1" applyAlignment="1">
      <alignment vertical="top" wrapText="1"/>
    </xf>
    <xf numFmtId="0" fontId="4" fillId="4" borderId="5" xfId="0" applyNumberFormat="1" applyFont="1" applyFill="1" applyBorder="1" applyAlignment="1">
      <alignment vertical="top" wrapText="1"/>
    </xf>
    <xf numFmtId="0" fontId="4" fillId="4" borderId="6" xfId="0" applyNumberFormat="1" applyFont="1" applyFill="1" applyBorder="1" applyAlignment="1">
      <alignment vertical="top" wrapText="1"/>
    </xf>
    <xf numFmtId="0" fontId="4" fillId="4" borderId="7" xfId="0" applyNumberFormat="1" applyFont="1" applyFill="1" applyBorder="1" applyAlignment="1">
      <alignment vertical="top" wrapText="1"/>
    </xf>
    <xf numFmtId="0" fontId="4" fillId="4" borderId="8" xfId="0" applyNumberFormat="1" applyFont="1" applyFill="1" applyBorder="1" applyAlignment="1">
      <alignment vertical="top" wrapText="1"/>
    </xf>
    <xf numFmtId="0" fontId="10" fillId="3" borderId="1" xfId="0" applyNumberFormat="1" applyFont="1" applyFill="1" applyBorder="1" applyAlignment="1">
      <alignment vertical="center" wrapText="1"/>
    </xf>
    <xf numFmtId="0" fontId="10" fillId="3" borderId="2" xfId="0" applyNumberFormat="1" applyFont="1" applyFill="1" applyBorder="1" applyAlignment="1">
      <alignment vertical="center" wrapText="1"/>
    </xf>
    <xf numFmtId="0" fontId="10" fillId="3" borderId="3" xfId="0" applyNumberFormat="1" applyFont="1" applyFill="1" applyBorder="1" applyAlignment="1">
      <alignment vertical="center" wrapText="1"/>
    </xf>
    <xf numFmtId="0" fontId="10" fillId="3" borderId="6" xfId="0" applyNumberFormat="1" applyFont="1" applyFill="1" applyBorder="1" applyAlignment="1">
      <alignment vertical="center" wrapText="1"/>
    </xf>
    <xf numFmtId="0" fontId="10" fillId="3" borderId="7" xfId="0" applyNumberFormat="1" applyFont="1" applyFill="1" applyBorder="1" applyAlignment="1">
      <alignment vertical="center" wrapText="1"/>
    </xf>
    <xf numFmtId="0" fontId="10" fillId="3" borderId="8" xfId="0" applyNumberFormat="1" applyFont="1" applyFill="1" applyBorder="1" applyAlignment="1">
      <alignment vertical="center" wrapText="1"/>
    </xf>
    <xf numFmtId="0" fontId="8" fillId="9" borderId="0" xfId="0" applyNumberFormat="1" applyFont="1" applyFill="1" applyBorder="1" applyAlignment="1">
      <alignment horizontal="center" vertical="center"/>
    </xf>
    <xf numFmtId="168" fontId="12" fillId="4" borderId="11" xfId="0" applyNumberFormat="1" applyFont="1" applyFill="1" applyBorder="1" applyAlignment="1">
      <alignment horizontal="center" vertical="center"/>
    </xf>
    <xf numFmtId="0" fontId="12" fillId="4" borderId="12" xfId="0" applyNumberFormat="1" applyFont="1" applyFill="1" applyBorder="1" applyAlignment="1">
      <alignment horizontal="center" vertical="center"/>
    </xf>
    <xf numFmtId="0" fontId="12" fillId="4" borderId="13" xfId="0" applyNumberFormat="1" applyFont="1" applyFill="1" applyBorder="1" applyAlignment="1">
      <alignment horizontal="center" vertical="center"/>
    </xf>
    <xf numFmtId="0" fontId="12" fillId="4" borderId="14" xfId="0" applyNumberFormat="1" applyFont="1" applyFill="1" applyBorder="1" applyAlignment="1">
      <alignment horizontal="center" vertical="center"/>
    </xf>
    <xf numFmtId="0" fontId="12" fillId="4" borderId="0" xfId="0" applyNumberFormat="1" applyFont="1" applyFill="1" applyBorder="1" applyAlignment="1">
      <alignment horizontal="center" vertical="center"/>
    </xf>
    <xf numFmtId="0" fontId="12" fillId="4" borderId="15" xfId="0" applyNumberFormat="1" applyFont="1" applyFill="1" applyBorder="1" applyAlignment="1">
      <alignment horizontal="center" vertical="center"/>
    </xf>
    <xf numFmtId="0" fontId="12" fillId="4" borderId="16" xfId="0" applyNumberFormat="1" applyFont="1" applyFill="1" applyBorder="1" applyAlignment="1">
      <alignment horizontal="center" vertical="center"/>
    </xf>
    <xf numFmtId="0" fontId="12" fillId="4" borderId="17" xfId="0" applyNumberFormat="1" applyFont="1" applyFill="1" applyBorder="1" applyAlignment="1">
      <alignment horizontal="center" vertical="center"/>
    </xf>
    <xf numFmtId="0" fontId="12" fillId="4" borderId="18" xfId="0" applyNumberFormat="1" applyFont="1" applyFill="1" applyBorder="1" applyAlignment="1">
      <alignment horizontal="center" vertical="center"/>
    </xf>
    <xf numFmtId="0" fontId="8" fillId="6" borderId="0" xfId="0" applyNumberFormat="1" applyFont="1" applyFill="1" applyBorder="1" applyAlignment="1">
      <alignment horizontal="center" vertical="center"/>
    </xf>
    <xf numFmtId="168" fontId="13" fillId="4" borderId="19" xfId="0" applyNumberFormat="1" applyFont="1" applyFill="1" applyBorder="1" applyAlignment="1">
      <alignment horizontal="center" vertical="center"/>
    </xf>
    <xf numFmtId="0" fontId="13" fillId="4" borderId="20" xfId="0" applyNumberFormat="1" applyFont="1" applyFill="1" applyBorder="1" applyAlignment="1">
      <alignment horizontal="center" vertical="center"/>
    </xf>
    <xf numFmtId="0" fontId="13" fillId="4" borderId="21" xfId="0" applyNumberFormat="1" applyFont="1" applyFill="1" applyBorder="1" applyAlignment="1">
      <alignment horizontal="center" vertical="center"/>
    </xf>
    <xf numFmtId="0" fontId="13" fillId="4" borderId="22" xfId="0" applyNumberFormat="1" applyFont="1" applyFill="1" applyBorder="1" applyAlignment="1">
      <alignment horizontal="center" vertical="center"/>
    </xf>
    <xf numFmtId="0" fontId="13" fillId="4" borderId="0" xfId="0" applyNumberFormat="1" applyFont="1" applyFill="1" applyBorder="1" applyAlignment="1">
      <alignment horizontal="center" vertical="center"/>
    </xf>
    <xf numFmtId="0" fontId="13" fillId="4" borderId="23" xfId="0" applyNumberFormat="1" applyFont="1" applyFill="1" applyBorder="1" applyAlignment="1">
      <alignment horizontal="center" vertical="center"/>
    </xf>
    <xf numFmtId="0" fontId="13" fillId="4" borderId="24" xfId="0" applyNumberFormat="1" applyFont="1" applyFill="1" applyBorder="1" applyAlignment="1">
      <alignment horizontal="center" vertical="center"/>
    </xf>
    <xf numFmtId="0" fontId="13" fillId="4" borderId="25" xfId="0" applyNumberFormat="1" applyFont="1" applyFill="1" applyBorder="1" applyAlignment="1">
      <alignment horizontal="center" vertical="center"/>
    </xf>
    <xf numFmtId="0" fontId="13" fillId="4" borderId="26" xfId="0" applyNumberFormat="1" applyFont="1" applyFill="1" applyBorder="1" applyAlignment="1">
      <alignment horizontal="center" vertical="center"/>
    </xf>
    <xf numFmtId="0" fontId="8" fillId="10" borderId="0" xfId="0" applyNumberFormat="1" applyFont="1" applyFill="1" applyBorder="1" applyAlignment="1">
      <alignment horizontal="center" vertical="center"/>
    </xf>
    <xf numFmtId="169" fontId="14" fillId="4" borderId="27" xfId="0" applyNumberFormat="1" applyFont="1" applyFill="1" applyBorder="1" applyAlignment="1">
      <alignment horizontal="center" vertical="center"/>
    </xf>
    <xf numFmtId="0" fontId="14" fillId="4" borderId="28" xfId="0" applyNumberFormat="1" applyFont="1" applyFill="1" applyBorder="1" applyAlignment="1">
      <alignment horizontal="center" vertical="center"/>
    </xf>
    <xf numFmtId="0" fontId="14" fillId="4" borderId="29" xfId="0" applyNumberFormat="1" applyFont="1" applyFill="1" applyBorder="1" applyAlignment="1">
      <alignment horizontal="center" vertical="center"/>
    </xf>
    <xf numFmtId="0" fontId="14" fillId="4" borderId="30" xfId="0" applyNumberFormat="1" applyFont="1" applyFill="1" applyBorder="1" applyAlignment="1">
      <alignment horizontal="center" vertical="center"/>
    </xf>
    <xf numFmtId="0" fontId="14" fillId="4" borderId="0" xfId="0" applyNumberFormat="1" applyFont="1" applyFill="1" applyBorder="1" applyAlignment="1">
      <alignment horizontal="center" vertical="center"/>
    </xf>
    <xf numFmtId="0" fontId="14" fillId="4" borderId="31" xfId="0" applyNumberFormat="1" applyFont="1" applyFill="1" applyBorder="1" applyAlignment="1">
      <alignment horizontal="center" vertical="center"/>
    </xf>
    <xf numFmtId="0" fontId="14" fillId="4" borderId="32" xfId="0" applyNumberFormat="1" applyFont="1" applyFill="1" applyBorder="1" applyAlignment="1">
      <alignment horizontal="center" vertical="center"/>
    </xf>
    <xf numFmtId="0" fontId="14" fillId="4" borderId="33" xfId="0" applyNumberFormat="1" applyFont="1" applyFill="1" applyBorder="1" applyAlignment="1">
      <alignment horizontal="center" vertical="center"/>
    </xf>
    <xf numFmtId="0" fontId="14" fillId="4" borderId="34" xfId="0" applyNumberFormat="1" applyFont="1" applyFill="1" applyBorder="1" applyAlignment="1">
      <alignment horizontal="center" vertical="center"/>
    </xf>
    <xf numFmtId="0" fontId="8" fillId="2" borderId="0" xfId="0" applyNumberFormat="1" applyFont="1" applyFill="1" applyBorder="1" applyAlignment="1">
      <alignment horizontal="center" vertical="center"/>
    </xf>
    <xf numFmtId="170" fontId="15" fillId="4" borderId="35" xfId="0" applyNumberFormat="1" applyFont="1" applyFill="1" applyBorder="1" applyAlignment="1">
      <alignment horizontal="center" vertical="center"/>
    </xf>
    <xf numFmtId="0" fontId="15" fillId="4" borderId="36" xfId="0" applyNumberFormat="1" applyFont="1" applyFill="1" applyBorder="1" applyAlignment="1">
      <alignment horizontal="center" vertical="center"/>
    </xf>
    <xf numFmtId="0" fontId="15" fillId="4" borderId="37" xfId="0" applyNumberFormat="1" applyFont="1" applyFill="1" applyBorder="1" applyAlignment="1">
      <alignment horizontal="center" vertical="center"/>
    </xf>
    <xf numFmtId="0" fontId="15" fillId="4" borderId="38" xfId="0" applyNumberFormat="1" applyFont="1" applyFill="1" applyBorder="1" applyAlignment="1">
      <alignment horizontal="center" vertical="center"/>
    </xf>
    <xf numFmtId="0" fontId="15" fillId="4" borderId="0" xfId="0" applyNumberFormat="1" applyFont="1" applyFill="1" applyBorder="1" applyAlignment="1">
      <alignment horizontal="center" vertical="center"/>
    </xf>
    <xf numFmtId="0" fontId="15" fillId="4" borderId="39" xfId="0" applyNumberFormat="1" applyFont="1" applyFill="1" applyBorder="1" applyAlignment="1">
      <alignment horizontal="center" vertical="center"/>
    </xf>
    <xf numFmtId="0" fontId="15" fillId="4" borderId="40" xfId="0" applyNumberFormat="1" applyFont="1" applyFill="1" applyBorder="1" applyAlignment="1">
      <alignment horizontal="center" vertical="center"/>
    </xf>
    <xf numFmtId="0" fontId="15" fillId="4" borderId="41" xfId="0" applyNumberFormat="1" applyFont="1" applyFill="1" applyBorder="1" applyAlignment="1">
      <alignment horizontal="center" vertical="center"/>
    </xf>
    <xf numFmtId="0" fontId="15" fillId="4" borderId="42" xfId="0" applyNumberFormat="1" applyFont="1" applyFill="1" applyBorder="1" applyAlignment="1">
      <alignment horizontal="center" vertical="center"/>
    </xf>
    <xf numFmtId="171" fontId="13" fillId="4" borderId="19" xfId="0" applyNumberFormat="1" applyFont="1" applyFill="1" applyBorder="1" applyAlignment="1">
      <alignment horizontal="center" vertical="center"/>
    </xf>
    <xf numFmtId="166" fontId="9" fillId="8" borderId="10" xfId="0" applyNumberFormat="1" applyFont="1" applyFill="1" applyBorder="1" applyAlignment="1">
      <alignment horizontal="center" vertical="center"/>
    </xf>
    <xf numFmtId="0" fontId="4" fillId="0" borderId="10" xfId="0" applyNumberFormat="1" applyFont="1" applyFill="1" applyBorder="1" applyAlignment="1">
      <alignment horizontal="center" vertical="center"/>
    </xf>
    <xf numFmtId="165" fontId="9" fillId="8" borderId="10" xfId="0" applyNumberFormat="1" applyFont="1" applyFill="1" applyBorder="1" applyAlignment="1">
      <alignment horizontal="center" vertical="center"/>
    </xf>
    <xf numFmtId="164" fontId="9" fillId="7" borderId="10" xfId="0" applyNumberFormat="1" applyFont="1" applyFill="1" applyBorder="1" applyAlignment="1">
      <alignment horizontal="center" vertical="center"/>
    </xf>
    <xf numFmtId="165" fontId="9" fillId="7" borderId="10" xfId="0" applyNumberFormat="1" applyFont="1" applyFill="1" applyBorder="1" applyAlignment="1">
      <alignment horizontal="center" vertical="center"/>
    </xf>
    <xf numFmtId="166" fontId="9" fillId="7" borderId="10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CaCO3 yield through processing (g)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Mass (g)</c:v>
          </c:tx>
          <c:invertIfNegative val="1"/>
          <c:cat>
            <c:strRef>
              <c:f>'Chart Data'!$A$6:$A$8</c:f>
              <c:strCache>
                <c:ptCount val="3"/>
                <c:pt idx="0">
                  <c:v>Theoretical</c:v>
                </c:pt>
                <c:pt idx="1">
                  <c:v>Formed before S/L</c:v>
                </c:pt>
                <c:pt idx="2">
                  <c:v>Recovered in product</c:v>
                </c:pt>
              </c:strCache>
            </c:strRef>
          </c:cat>
          <c:val>
            <c:numRef>
              <c:f>'Chart Data'!$B$6:$B$8</c:f>
              <c:numCache>
                <c:formatCode>0.00</c:formatCode>
                <c:ptCount val="3"/>
                <c:pt idx="0">
                  <c:v>22.408370863316531</c:v>
                </c:pt>
                <c:pt idx="1">
                  <c:v>21.960203446050201</c:v>
                </c:pt>
                <c:pt idx="2">
                  <c:v>19.76418310144518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B1-4521-8D77-AF31778D62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Mass (g)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CO2 storage capacity (kg/t slag)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kg CO2/t slag</c:v>
          </c:tx>
          <c:invertIfNegative val="1"/>
          <c:cat>
            <c:strRef>
              <c:f>'Chart Data'!$D$6:$D$7</c:f>
              <c:strCache>
                <c:ptCount val="2"/>
                <c:pt idx="0">
                  <c:v>Before separation</c:v>
                </c:pt>
                <c:pt idx="1">
                  <c:v>Recovered product</c:v>
                </c:pt>
              </c:strCache>
            </c:strRef>
          </c:cat>
          <c:val>
            <c:numRef>
              <c:f>'Chart Data'!$E$6:$E$7</c:f>
              <c:numCache>
                <c:formatCode>0.0</c:formatCode>
                <c:ptCount val="2"/>
                <c:pt idx="0">
                  <c:v>144.84571573356951</c:v>
                </c:pt>
                <c:pt idx="1">
                  <c:v>130.36114416021258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A4-4DFB-AC1A-650FFA5828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kg CO2/t slag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Process efficiencies (%)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%</c:v>
          </c:tx>
          <c:invertIfNegative val="1"/>
          <c:cat>
            <c:strRef>
              <c:f>'Chart Data'!$G$6:$G$8</c:f>
              <c:strCache>
                <c:ptCount val="3"/>
                <c:pt idx="0">
                  <c:v>Ca precipitation</c:v>
                </c:pt>
                <c:pt idx="1">
                  <c:v>Solid recovery</c:v>
                </c:pt>
                <c:pt idx="2">
                  <c:v>Overall recovery</c:v>
                </c:pt>
              </c:strCache>
            </c:strRef>
          </c:cat>
          <c:val>
            <c:numRef>
              <c:f>'Chart Data'!$H$6:$H$8</c:f>
              <c:numCache>
                <c:formatCode>0.0</c:formatCode>
                <c:ptCount val="3"/>
                <c:pt idx="0">
                  <c:v>98</c:v>
                </c:pt>
                <c:pt idx="1">
                  <c:v>90</c:v>
                </c:pt>
                <c:pt idx="2">
                  <c:v>88.2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47-4F76-8120-9520564B9A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Efficiency (%)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Calcium distribution (g Ca)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v>Ca mass (g)</c:v>
          </c:tx>
          <c:cat>
            <c:strRef>
              <c:f>'Chart Data'!$A$13:$A$15</c:f>
              <c:strCache>
                <c:ptCount val="3"/>
                <c:pt idx="0">
                  <c:v>Recovered product</c:v>
                </c:pt>
                <c:pt idx="1">
                  <c:v>Separation loss</c:v>
                </c:pt>
                <c:pt idx="2">
                  <c:v>Dissolved residual</c:v>
                </c:pt>
              </c:strCache>
            </c:strRef>
          </c:cat>
          <c:val>
            <c:numRef>
              <c:f>'Chart Data'!$B$13:$B$15</c:f>
              <c:numCache>
                <c:formatCode>0.000</c:formatCode>
                <c:ptCount val="3"/>
                <c:pt idx="0">
                  <c:v>7.9142830200000001</c:v>
                </c:pt>
                <c:pt idx="1">
                  <c:v>0.8793647800000004</c:v>
                </c:pt>
                <c:pt idx="2">
                  <c:v>0.17946220000000015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C8-4FA3-99A1-BA47DCC6FF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0"/>
      </c:doughnutChart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0</xdr:rowOff>
    </xdr:from>
    <xdr:to>
      <xdr:col>7</xdr:col>
      <xdr:colOff>0</xdr:colOff>
      <xdr:row>30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14</xdr:row>
      <xdr:rowOff>0</xdr:rowOff>
    </xdr:from>
    <xdr:to>
      <xdr:col>14</xdr:col>
      <xdr:colOff>0</xdr:colOff>
      <xdr:row>30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31</xdr:row>
      <xdr:rowOff>0</xdr:rowOff>
    </xdr:from>
    <xdr:to>
      <xdr:col>7</xdr:col>
      <xdr:colOff>0</xdr:colOff>
      <xdr:row>47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31</xdr:row>
      <xdr:rowOff>0</xdr:rowOff>
    </xdr:from>
    <xdr:to>
      <xdr:col>14</xdr:col>
      <xdr:colOff>0</xdr:colOff>
      <xdr:row>47</xdr:row>
      <xdr:rowOff>0</xdr:rowOff>
    </xdr:to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showGridLines="0" tabSelected="1" workbookViewId="0">
      <selection activeCell="B34" sqref="B34"/>
    </sheetView>
  </sheetViews>
  <sheetFormatPr defaultRowHeight="13.8"/>
  <cols>
    <col min="1" max="1" width="28" customWidth="1"/>
    <col min="2" max="2" width="72" customWidth="1"/>
    <col min="3" max="8" width="14" customWidth="1"/>
  </cols>
  <sheetData>
    <row r="1" spans="1:8" ht="24" customHeight="1">
      <c r="A1" s="10" t="s">
        <v>0</v>
      </c>
      <c r="B1" s="10"/>
      <c r="C1" s="10"/>
      <c r="D1" s="10"/>
      <c r="E1" s="10"/>
      <c r="F1" s="10"/>
      <c r="G1" s="10"/>
      <c r="H1" s="10"/>
    </row>
    <row r="2" spans="1:8" ht="22.05" customHeight="1">
      <c r="A2" s="10"/>
      <c r="B2" s="10"/>
      <c r="C2" s="10"/>
      <c r="D2" s="10"/>
      <c r="E2" s="10"/>
      <c r="F2" s="10"/>
      <c r="G2" s="10"/>
      <c r="H2" s="10"/>
    </row>
    <row r="3" spans="1:8" ht="30" customHeight="1">
      <c r="A3" s="11" t="s">
        <v>1</v>
      </c>
      <c r="B3" s="11"/>
      <c r="C3" s="11"/>
      <c r="D3" s="11"/>
      <c r="E3" s="11"/>
      <c r="F3" s="11"/>
      <c r="G3" s="11"/>
      <c r="H3" s="11"/>
    </row>
    <row r="5" spans="1:8">
      <c r="A5" s="12" t="s">
        <v>2</v>
      </c>
      <c r="B5" s="12" t="s">
        <v>2</v>
      </c>
      <c r="C5" s="12" t="s">
        <v>2</v>
      </c>
      <c r="D5" s="12" t="s">
        <v>2</v>
      </c>
      <c r="E5" s="12" t="s">
        <v>2</v>
      </c>
      <c r="F5" s="12" t="s">
        <v>2</v>
      </c>
      <c r="G5" s="12" t="s">
        <v>2</v>
      </c>
      <c r="H5" s="12" t="s">
        <v>2</v>
      </c>
    </row>
    <row r="6" spans="1:8">
      <c r="A6" s="13" t="s">
        <v>165</v>
      </c>
      <c r="B6" s="14"/>
      <c r="C6" s="14"/>
      <c r="D6" s="14"/>
      <c r="E6" s="14"/>
      <c r="F6" s="14"/>
      <c r="G6" s="14"/>
      <c r="H6" s="15"/>
    </row>
    <row r="7" spans="1:8">
      <c r="A7" s="16"/>
      <c r="B7" s="17"/>
      <c r="C7" s="17"/>
      <c r="D7" s="17"/>
      <c r="E7" s="17"/>
      <c r="F7" s="17"/>
      <c r="G7" s="17"/>
      <c r="H7" s="18"/>
    </row>
    <row r="8" spans="1:8">
      <c r="A8" s="16"/>
      <c r="B8" s="17"/>
      <c r="C8" s="17"/>
      <c r="D8" s="17"/>
      <c r="E8" s="17"/>
      <c r="F8" s="17"/>
      <c r="G8" s="17"/>
      <c r="H8" s="18"/>
    </row>
    <row r="9" spans="1:8">
      <c r="A9" s="19"/>
      <c r="B9" s="20"/>
      <c r="C9" s="20"/>
      <c r="D9" s="20"/>
      <c r="E9" s="20"/>
      <c r="F9" s="20"/>
      <c r="G9" s="20"/>
      <c r="H9" s="21"/>
    </row>
    <row r="11" spans="1:8">
      <c r="A11" s="12" t="s">
        <v>3</v>
      </c>
      <c r="B11" s="12" t="s">
        <v>3</v>
      </c>
      <c r="C11" s="12" t="s">
        <v>3</v>
      </c>
      <c r="D11" s="12" t="s">
        <v>3</v>
      </c>
      <c r="E11" s="12" t="s">
        <v>3</v>
      </c>
      <c r="F11" s="12" t="s">
        <v>3</v>
      </c>
      <c r="G11" s="12" t="s">
        <v>3</v>
      </c>
      <c r="H11" s="12" t="s">
        <v>3</v>
      </c>
    </row>
    <row r="12" spans="1:8" ht="30" customHeight="1">
      <c r="A12" s="2" t="s">
        <v>4</v>
      </c>
      <c r="B12" s="1" t="s">
        <v>5</v>
      </c>
    </row>
    <row r="13" spans="1:8" ht="30" customHeight="1">
      <c r="A13" s="2" t="s">
        <v>6</v>
      </c>
      <c r="B13" s="1" t="s">
        <v>7</v>
      </c>
    </row>
    <row r="14" spans="1:8" ht="30" customHeight="1">
      <c r="A14" s="2" t="s">
        <v>8</v>
      </c>
      <c r="B14" s="1" t="s">
        <v>9</v>
      </c>
    </row>
    <row r="15" spans="1:8" ht="30" customHeight="1">
      <c r="A15" s="2" t="s">
        <v>10</v>
      </c>
      <c r="B15" s="1" t="s">
        <v>11</v>
      </c>
    </row>
    <row r="16" spans="1:8" ht="30" customHeight="1"/>
    <row r="17" spans="1:8" ht="30" customHeight="1">
      <c r="A17" s="12" t="s">
        <v>12</v>
      </c>
      <c r="B17" s="12" t="s">
        <v>12</v>
      </c>
      <c r="C17" s="12" t="s">
        <v>12</v>
      </c>
      <c r="D17" s="12" t="s">
        <v>12</v>
      </c>
      <c r="E17" s="12" t="s">
        <v>12</v>
      </c>
      <c r="F17" s="12" t="s">
        <v>12</v>
      </c>
      <c r="G17" s="12" t="s">
        <v>12</v>
      </c>
      <c r="H17" s="12" t="s">
        <v>12</v>
      </c>
    </row>
    <row r="18" spans="1:8" ht="30" customHeight="1">
      <c r="A18" s="2" t="s">
        <v>13</v>
      </c>
      <c r="B18" s="3" t="s">
        <v>14</v>
      </c>
    </row>
    <row r="19" spans="1:8" ht="30" customHeight="1">
      <c r="A19" s="2" t="s">
        <v>15</v>
      </c>
      <c r="B19" s="3" t="s">
        <v>16</v>
      </c>
    </row>
    <row r="20" spans="1:8" ht="30" customHeight="1">
      <c r="A20" s="2" t="s">
        <v>17</v>
      </c>
      <c r="B20" s="3" t="s">
        <v>18</v>
      </c>
    </row>
    <row r="21" spans="1:8" ht="30" customHeight="1">
      <c r="A21" s="2" t="s">
        <v>19</v>
      </c>
      <c r="B21" s="3" t="s">
        <v>20</v>
      </c>
    </row>
    <row r="24" spans="1:8" ht="24" customHeight="1"/>
    <row r="25" spans="1:8" ht="24" customHeight="1"/>
    <row r="26" spans="1:8" ht="24" customHeight="1"/>
    <row r="27" spans="1:8" ht="24" customHeight="1"/>
    <row r="28" spans="1:8" ht="24" customHeight="1"/>
  </sheetData>
  <mergeCells count="6">
    <mergeCell ref="A17:H17"/>
    <mergeCell ref="A1:H2"/>
    <mergeCell ref="A3:H3"/>
    <mergeCell ref="A5:H5"/>
    <mergeCell ref="A6:H9"/>
    <mergeCell ref="A11:H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8"/>
  <sheetViews>
    <sheetView showGridLines="0" workbookViewId="0">
      <selection activeCell="I7" sqref="I7"/>
    </sheetView>
  </sheetViews>
  <sheetFormatPr defaultRowHeight="13.8"/>
  <cols>
    <col min="1" max="1" width="10" customWidth="1"/>
    <col min="2" max="2" width="38" customWidth="1"/>
    <col min="3" max="3" width="16" customWidth="1"/>
    <col min="4" max="4" width="14" customWidth="1"/>
    <col min="5" max="5" width="46" customWidth="1"/>
    <col min="6" max="6" width="16" customWidth="1"/>
  </cols>
  <sheetData>
    <row r="1" spans="1:6" ht="24" customHeight="1">
      <c r="A1" s="10" t="s">
        <v>22</v>
      </c>
      <c r="B1" s="10"/>
      <c r="C1" s="10"/>
      <c r="D1" s="10"/>
      <c r="E1" s="10"/>
      <c r="F1" s="10"/>
    </row>
    <row r="2" spans="1:6" ht="22.05" customHeight="1">
      <c r="A2" s="10"/>
      <c r="B2" s="10"/>
      <c r="C2" s="10"/>
      <c r="D2" s="10"/>
      <c r="E2" s="10"/>
      <c r="F2" s="10"/>
    </row>
    <row r="3" spans="1:6" ht="30" customHeight="1">
      <c r="A3" s="11" t="s">
        <v>166</v>
      </c>
      <c r="B3" s="11"/>
      <c r="C3" s="11"/>
      <c r="D3" s="11"/>
      <c r="E3" s="11"/>
      <c r="F3" s="11"/>
    </row>
    <row r="5" spans="1:6" ht="24" customHeight="1">
      <c r="A5" s="4" t="s">
        <v>23</v>
      </c>
      <c r="B5" s="4" t="s">
        <v>24</v>
      </c>
      <c r="C5" s="4" t="s">
        <v>25</v>
      </c>
      <c r="D5" s="4" t="s">
        <v>26</v>
      </c>
      <c r="E5" s="4" t="s">
        <v>27</v>
      </c>
      <c r="F5" s="4" t="s">
        <v>28</v>
      </c>
    </row>
    <row r="6" spans="1:6" ht="24" customHeight="1">
      <c r="A6" s="5" t="s">
        <v>29</v>
      </c>
      <c r="B6" s="5" t="s">
        <v>30</v>
      </c>
      <c r="C6" s="72">
        <v>1</v>
      </c>
      <c r="D6" s="70" t="s">
        <v>31</v>
      </c>
      <c r="E6" s="5" t="s">
        <v>32</v>
      </c>
      <c r="F6" s="5" t="s">
        <v>33</v>
      </c>
    </row>
    <row r="7" spans="1:6" ht="24" customHeight="1">
      <c r="A7" s="5" t="s">
        <v>34</v>
      </c>
      <c r="B7" s="5" t="s">
        <v>35</v>
      </c>
      <c r="C7" s="72">
        <v>8.9731100000000001</v>
      </c>
      <c r="D7" s="70" t="s">
        <v>36</v>
      </c>
      <c r="E7" s="5" t="s">
        <v>37</v>
      </c>
      <c r="F7" s="5" t="s">
        <v>33</v>
      </c>
    </row>
    <row r="8" spans="1:6" ht="24" customHeight="1">
      <c r="A8" s="5" t="s">
        <v>38</v>
      </c>
      <c r="B8" s="5" t="s">
        <v>39</v>
      </c>
      <c r="C8" s="72">
        <v>1</v>
      </c>
      <c r="D8" s="70" t="s">
        <v>40</v>
      </c>
      <c r="E8" s="5" t="s">
        <v>41</v>
      </c>
      <c r="F8" s="5" t="s">
        <v>42</v>
      </c>
    </row>
    <row r="9" spans="1:6" ht="24" customHeight="1">
      <c r="A9" s="5" t="s">
        <v>43</v>
      </c>
      <c r="B9" s="5" t="s">
        <v>44</v>
      </c>
      <c r="C9" s="73">
        <v>0.05</v>
      </c>
      <c r="D9" s="70" t="s">
        <v>45</v>
      </c>
      <c r="E9" s="5" t="s">
        <v>46</v>
      </c>
      <c r="F9" s="5" t="s">
        <v>42</v>
      </c>
    </row>
    <row r="10" spans="1:6" ht="24" customHeight="1">
      <c r="A10" s="5" t="s">
        <v>47</v>
      </c>
      <c r="B10" s="5" t="s">
        <v>48</v>
      </c>
      <c r="C10" s="73">
        <v>0.98</v>
      </c>
      <c r="D10" s="70" t="s">
        <v>45</v>
      </c>
      <c r="E10" s="5" t="s">
        <v>49</v>
      </c>
      <c r="F10" s="5" t="s">
        <v>33</v>
      </c>
    </row>
    <row r="11" spans="1:6" ht="24" customHeight="1">
      <c r="A11" s="5" t="s">
        <v>50</v>
      </c>
      <c r="B11" s="5" t="s">
        <v>51</v>
      </c>
      <c r="C11" s="73">
        <v>0.9</v>
      </c>
      <c r="D11" s="70" t="s">
        <v>45</v>
      </c>
      <c r="E11" s="5" t="s">
        <v>52</v>
      </c>
      <c r="F11" s="5" t="s">
        <v>33</v>
      </c>
    </row>
    <row r="12" spans="1:6" ht="24" customHeight="1">
      <c r="A12" s="5" t="s">
        <v>53</v>
      </c>
      <c r="B12" s="5" t="s">
        <v>54</v>
      </c>
      <c r="C12" s="73">
        <v>0.95</v>
      </c>
      <c r="D12" s="70" t="s">
        <v>45</v>
      </c>
      <c r="E12" s="5" t="s">
        <v>55</v>
      </c>
      <c r="F12" s="5" t="s">
        <v>33</v>
      </c>
    </row>
    <row r="13" spans="1:6" ht="24" customHeight="1">
      <c r="A13" s="5" t="s">
        <v>56</v>
      </c>
      <c r="B13" s="5" t="s">
        <v>57</v>
      </c>
      <c r="C13" s="72">
        <v>10</v>
      </c>
      <c r="D13" s="70" t="s">
        <v>58</v>
      </c>
      <c r="E13" s="5" t="s">
        <v>59</v>
      </c>
      <c r="F13" s="5" t="s">
        <v>33</v>
      </c>
    </row>
    <row r="14" spans="1:6" ht="24" customHeight="1">
      <c r="A14" s="5" t="s">
        <v>60</v>
      </c>
      <c r="B14" s="5" t="s">
        <v>61</v>
      </c>
      <c r="C14" s="72">
        <v>0.15</v>
      </c>
      <c r="D14" s="70" t="s">
        <v>31</v>
      </c>
      <c r="E14" s="5" t="s">
        <v>62</v>
      </c>
      <c r="F14" s="5" t="s">
        <v>33</v>
      </c>
    </row>
    <row r="15" spans="1:6" ht="24" customHeight="1">
      <c r="A15" s="5" t="s">
        <v>63</v>
      </c>
      <c r="B15" s="5" t="s">
        <v>64</v>
      </c>
      <c r="C15" s="72">
        <v>40.078000000000003</v>
      </c>
      <c r="D15" s="70" t="s">
        <v>65</v>
      </c>
      <c r="E15" s="5" t="s">
        <v>66</v>
      </c>
      <c r="F15" s="5" t="s">
        <v>67</v>
      </c>
    </row>
    <row r="16" spans="1:6" ht="24" customHeight="1">
      <c r="A16" s="5" t="s">
        <v>68</v>
      </c>
      <c r="B16" s="5" t="s">
        <v>69</v>
      </c>
      <c r="C16" s="72">
        <v>100.086</v>
      </c>
      <c r="D16" s="70" t="s">
        <v>65</v>
      </c>
      <c r="E16" s="5" t="s">
        <v>70</v>
      </c>
      <c r="F16" s="5" t="s">
        <v>67</v>
      </c>
    </row>
    <row r="17" spans="1:6" ht="24" customHeight="1"/>
    <row r="18" spans="1:6" ht="24" customHeight="1">
      <c r="A18" s="5" t="s">
        <v>71</v>
      </c>
      <c r="B18" s="5" t="s">
        <v>72</v>
      </c>
      <c r="C18" s="74">
        <v>44.01</v>
      </c>
      <c r="D18" s="70" t="s">
        <v>65</v>
      </c>
      <c r="E18" s="5" t="s">
        <v>70</v>
      </c>
      <c r="F18" s="5" t="s">
        <v>67</v>
      </c>
    </row>
  </sheetData>
  <mergeCells count="2">
    <mergeCell ref="A1:F2"/>
    <mergeCell ref="A3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3"/>
  <sheetViews>
    <sheetView showGridLines="0" workbookViewId="0">
      <selection activeCell="C35" sqref="C35"/>
    </sheetView>
  </sheetViews>
  <sheetFormatPr defaultRowHeight="13.8"/>
  <cols>
    <col min="1" max="1" width="8" customWidth="1"/>
    <col min="2" max="2" width="38" customWidth="1"/>
    <col min="3" max="3" width="43" customWidth="1"/>
    <col min="4" max="5" width="17" customWidth="1"/>
    <col min="6" max="6" width="38" customWidth="1"/>
    <col min="7" max="7" width="12" customWidth="1"/>
  </cols>
  <sheetData>
    <row r="1" spans="1:7" ht="24" customHeight="1">
      <c r="A1" s="10" t="s">
        <v>73</v>
      </c>
      <c r="B1" s="10"/>
      <c r="C1" s="10"/>
      <c r="D1" s="10"/>
      <c r="E1" s="10"/>
      <c r="F1" s="10"/>
      <c r="G1" s="10"/>
    </row>
    <row r="2" spans="1:7" ht="22.05" customHeight="1">
      <c r="A2" s="10"/>
      <c r="B2" s="10"/>
      <c r="C2" s="10"/>
      <c r="D2" s="10"/>
      <c r="E2" s="10"/>
      <c r="F2" s="10"/>
      <c r="G2" s="10"/>
    </row>
    <row r="3" spans="1:7" ht="30" customHeight="1">
      <c r="A3" s="11" t="s">
        <v>74</v>
      </c>
      <c r="B3" s="11"/>
      <c r="C3" s="11"/>
      <c r="D3" s="11"/>
      <c r="E3" s="11"/>
      <c r="F3" s="11"/>
      <c r="G3" s="11"/>
    </row>
    <row r="5" spans="1:7" ht="25.05" customHeight="1">
      <c r="A5" s="4" t="s">
        <v>75</v>
      </c>
      <c r="B5" s="4" t="s">
        <v>76</v>
      </c>
      <c r="C5" s="4" t="s">
        <v>77</v>
      </c>
      <c r="D5" s="4" t="s">
        <v>78</v>
      </c>
      <c r="E5" s="4" t="s">
        <v>26</v>
      </c>
      <c r="F5" s="4" t="s">
        <v>79</v>
      </c>
      <c r="G5" s="4" t="s">
        <v>80</v>
      </c>
    </row>
    <row r="6" spans="1:7" ht="25.05" customHeight="1">
      <c r="A6" s="5">
        <v>1</v>
      </c>
      <c r="B6" s="5" t="s">
        <v>81</v>
      </c>
      <c r="C6" s="5" t="s">
        <v>82</v>
      </c>
      <c r="D6" s="69">
        <f>Inputs!C6*Inputs!C7</f>
        <v>8.9731100000000001</v>
      </c>
      <c r="E6" s="70" t="s">
        <v>58</v>
      </c>
      <c r="F6" s="5" t="s">
        <v>83</v>
      </c>
      <c r="G6" s="6" t="str">
        <f>IF(D6&gt;0,"OK","CHECK")</f>
        <v>OK</v>
      </c>
    </row>
    <row r="7" spans="1:7" ht="25.05" customHeight="1">
      <c r="A7" s="5">
        <v>2</v>
      </c>
      <c r="B7" s="5" t="s">
        <v>84</v>
      </c>
      <c r="C7" s="5" t="s">
        <v>85</v>
      </c>
      <c r="D7" s="69">
        <f>D6/Inputs!C15</f>
        <v>0.22389116223364439</v>
      </c>
      <c r="E7" s="70" t="s">
        <v>86</v>
      </c>
      <c r="F7" s="5" t="s">
        <v>87</v>
      </c>
      <c r="G7" s="6" t="str">
        <f>IF(D7&gt;0,"OK","CHECK")</f>
        <v>OK</v>
      </c>
    </row>
    <row r="8" spans="1:7" ht="25.05" customHeight="1">
      <c r="A8" s="5">
        <v>3</v>
      </c>
      <c r="B8" s="5" t="s">
        <v>88</v>
      </c>
      <c r="C8" s="5" t="s">
        <v>89</v>
      </c>
      <c r="D8" s="69">
        <f>D7</f>
        <v>0.22389116223364439</v>
      </c>
      <c r="E8" s="70" t="s">
        <v>86</v>
      </c>
      <c r="F8" s="5" t="s">
        <v>90</v>
      </c>
      <c r="G8" s="6" t="str">
        <f>IF(ABS(D8-D7)&lt;0.000001,"1:1","CHECK")</f>
        <v>1:1</v>
      </c>
    </row>
    <row r="9" spans="1:7" ht="25.05" customHeight="1">
      <c r="A9" s="5">
        <v>4</v>
      </c>
      <c r="B9" s="5" t="s">
        <v>91</v>
      </c>
      <c r="C9" s="5" t="s">
        <v>92</v>
      </c>
      <c r="D9" s="69">
        <f>D8/Inputs!C8</f>
        <v>0.22389116223364439</v>
      </c>
      <c r="E9" s="70" t="s">
        <v>31</v>
      </c>
      <c r="F9" s="5" t="s">
        <v>93</v>
      </c>
      <c r="G9" s="6" t="str">
        <f>IF(D9&gt;0,"OK","CHECK")</f>
        <v>OK</v>
      </c>
    </row>
    <row r="10" spans="1:7" ht="25.05" customHeight="1">
      <c r="A10" s="5">
        <v>5</v>
      </c>
      <c r="B10" s="5" t="s">
        <v>94</v>
      </c>
      <c r="C10" s="5" t="s">
        <v>95</v>
      </c>
      <c r="D10" s="69">
        <f>D9*(1+Inputs!C9)</f>
        <v>0.23508572034532663</v>
      </c>
      <c r="E10" s="70" t="s">
        <v>31</v>
      </c>
      <c r="F10" s="5" t="s">
        <v>96</v>
      </c>
      <c r="G10" s="6" t="str">
        <f>IF(D10&gt;=D9,"OK","CHECK")</f>
        <v>OK</v>
      </c>
    </row>
    <row r="11" spans="1:7" ht="25.05" customHeight="1">
      <c r="A11" s="5">
        <v>6</v>
      </c>
      <c r="B11" s="5" t="s">
        <v>97</v>
      </c>
      <c r="C11" s="5" t="s">
        <v>98</v>
      </c>
      <c r="D11" s="69">
        <f>D7*Inputs!C16</f>
        <v>22.408370863316531</v>
      </c>
      <c r="E11" s="70" t="s">
        <v>58</v>
      </c>
      <c r="F11" s="5" t="s">
        <v>99</v>
      </c>
      <c r="G11" s="6" t="str">
        <f>IF(D11&gt;0,"OK","CHECK")</f>
        <v>OK</v>
      </c>
    </row>
    <row r="12" spans="1:7" ht="25.05" customHeight="1">
      <c r="A12" s="5">
        <v>7</v>
      </c>
      <c r="B12" s="5" t="s">
        <v>100</v>
      </c>
      <c r="C12" s="5" t="s">
        <v>101</v>
      </c>
      <c r="D12" s="69">
        <f>D11*Inputs!C10</f>
        <v>21.960203446050201</v>
      </c>
      <c r="E12" s="70" t="s">
        <v>58</v>
      </c>
      <c r="F12" s="5" t="s">
        <v>102</v>
      </c>
      <c r="G12" s="6" t="str">
        <f>IF(D12&lt;=D11,"OK","CHECK")</f>
        <v>OK</v>
      </c>
    </row>
    <row r="13" spans="1:7" ht="25.05" customHeight="1">
      <c r="A13" s="5">
        <v>8</v>
      </c>
      <c r="B13" s="5" t="s">
        <v>103</v>
      </c>
      <c r="C13" s="5" t="s">
        <v>104</v>
      </c>
      <c r="D13" s="69">
        <f>D12*Inputs!C11</f>
        <v>19.76418310144518</v>
      </c>
      <c r="E13" s="70" t="s">
        <v>58</v>
      </c>
      <c r="F13" s="5" t="s">
        <v>105</v>
      </c>
      <c r="G13" s="6" t="str">
        <f>IF(D13&lt;=D12,"OK","CHECK")</f>
        <v>OK</v>
      </c>
    </row>
    <row r="14" spans="1:7" ht="25.05" customHeight="1">
      <c r="A14" s="5">
        <v>9</v>
      </c>
      <c r="B14" s="5" t="s">
        <v>106</v>
      </c>
      <c r="C14" s="5" t="s">
        <v>107</v>
      </c>
      <c r="D14" s="69">
        <f>D13/Inputs!C12</f>
        <v>20.804403264679138</v>
      </c>
      <c r="E14" s="70" t="s">
        <v>58</v>
      </c>
      <c r="F14" s="5" t="s">
        <v>108</v>
      </c>
      <c r="G14" s="6" t="str">
        <f>IF(D14&gt;=D13,"OK","CHECK")</f>
        <v>OK</v>
      </c>
    </row>
    <row r="15" spans="1:7" ht="25.05" customHeight="1">
      <c r="A15" s="5">
        <v>10</v>
      </c>
      <c r="B15" s="5" t="s">
        <v>19</v>
      </c>
      <c r="C15" s="5" t="s">
        <v>109</v>
      </c>
      <c r="D15" s="71">
        <f>Inputs!C10*Inputs!C11</f>
        <v>0.88200000000000001</v>
      </c>
      <c r="E15" s="70" t="s">
        <v>110</v>
      </c>
      <c r="F15" s="5" t="s">
        <v>111</v>
      </c>
      <c r="G15" s="6" t="str">
        <f>IF(D15&lt;=1,"OK","CHECK")</f>
        <v>OK</v>
      </c>
    </row>
    <row r="16" spans="1:7" ht="25.05" customHeight="1">
      <c r="A16" s="5">
        <v>11</v>
      </c>
      <c r="B16" s="5" t="s">
        <v>112</v>
      </c>
      <c r="C16" s="5" t="s">
        <v>113</v>
      </c>
      <c r="D16" s="69">
        <f>D6*(1-Inputs!C10)</f>
        <v>0.17946220000000015</v>
      </c>
      <c r="E16" s="70" t="s">
        <v>58</v>
      </c>
      <c r="F16" s="5" t="s">
        <v>114</v>
      </c>
      <c r="G16" s="6" t="str">
        <f>IF(D16&gt;=0,"OK","CHECK")</f>
        <v>OK</v>
      </c>
    </row>
    <row r="17" spans="1:7" ht="25.05" customHeight="1">
      <c r="A17" s="5">
        <v>12</v>
      </c>
      <c r="B17" s="5" t="s">
        <v>115</v>
      </c>
      <c r="C17" s="5" t="s">
        <v>116</v>
      </c>
      <c r="D17" s="69">
        <f>Inputs!C6+D10</f>
        <v>1.2350857203453267</v>
      </c>
      <c r="E17" s="70" t="s">
        <v>31</v>
      </c>
      <c r="F17" s="5" t="s">
        <v>117</v>
      </c>
      <c r="G17" s="6" t="str">
        <f>IF(D17&gt;=Inputs!C6,"OK","CHECK")</f>
        <v>OK</v>
      </c>
    </row>
    <row r="18" spans="1:7" ht="25.05" customHeight="1">
      <c r="A18" s="5">
        <v>13</v>
      </c>
      <c r="B18" s="5" t="s">
        <v>118</v>
      </c>
      <c r="C18" s="5" t="s">
        <v>119</v>
      </c>
      <c r="D18" s="69">
        <f>D16/D17*1000</f>
        <v>145.30343687385763</v>
      </c>
      <c r="E18" s="70" t="s">
        <v>120</v>
      </c>
      <c r="F18" s="5" t="s">
        <v>121</v>
      </c>
      <c r="G18" s="6" t="str">
        <f>IF(D18&gt;=0,"OK","CHECK")</f>
        <v>OK</v>
      </c>
    </row>
    <row r="19" spans="1:7" ht="25.05" customHeight="1">
      <c r="A19" s="5">
        <v>14</v>
      </c>
      <c r="B19" s="5" t="s">
        <v>122</v>
      </c>
      <c r="C19" s="5" t="s">
        <v>123</v>
      </c>
      <c r="D19" s="69">
        <f>D12*Inputs!C18/Inputs!C16</f>
        <v>9.6563810489046347</v>
      </c>
      <c r="E19" s="70" t="s">
        <v>58</v>
      </c>
      <c r="F19" s="5" t="s">
        <v>124</v>
      </c>
      <c r="G19" s="6" t="str">
        <f>IF(D19&gt;=D20,"OK","CHECK")</f>
        <v>OK</v>
      </c>
    </row>
    <row r="20" spans="1:7" ht="25.05" customHeight="1">
      <c r="A20" s="5">
        <v>15</v>
      </c>
      <c r="B20" s="5" t="s">
        <v>13</v>
      </c>
      <c r="C20" s="5" t="s">
        <v>125</v>
      </c>
      <c r="D20" s="69">
        <f>D13*Inputs!C18/Inputs!C16</f>
        <v>8.6907429440141719</v>
      </c>
      <c r="E20" s="70" t="s">
        <v>58</v>
      </c>
      <c r="F20" s="5" t="s">
        <v>126</v>
      </c>
      <c r="G20" s="6" t="str">
        <f>IF(D20&gt;0,"OK","CHECK")</f>
        <v>OK</v>
      </c>
    </row>
    <row r="21" spans="1:7" ht="25.05" customHeight="1">
      <c r="A21" s="5">
        <v>16</v>
      </c>
      <c r="B21" s="5" t="s">
        <v>127</v>
      </c>
      <c r="C21" s="5" t="s">
        <v>128</v>
      </c>
      <c r="D21" s="69">
        <f>Inputs!C13*Inputs!C6/Inputs!C14</f>
        <v>66.666666666666671</v>
      </c>
      <c r="E21" s="70" t="s">
        <v>129</v>
      </c>
      <c r="F21" s="5" t="s">
        <v>130</v>
      </c>
      <c r="G21" s="6" t="str">
        <f>IF(D21&gt;0,"OK","CHECK")</f>
        <v>OK</v>
      </c>
    </row>
    <row r="22" spans="1:7" ht="25.05" customHeight="1">
      <c r="A22" s="5">
        <v>17</v>
      </c>
      <c r="B22" s="5" t="s">
        <v>131</v>
      </c>
      <c r="C22" s="5" t="s">
        <v>132</v>
      </c>
      <c r="D22" s="69">
        <f>D19/D21*1000</f>
        <v>144.84571573356951</v>
      </c>
      <c r="E22" s="70" t="s">
        <v>133</v>
      </c>
      <c r="F22" s="5" t="s">
        <v>134</v>
      </c>
      <c r="G22" s="6" t="str">
        <f>IF(D22&gt;=D23,"OK","CHECK")</f>
        <v>OK</v>
      </c>
    </row>
    <row r="23" spans="1:7" ht="25.05" customHeight="1">
      <c r="A23" s="5">
        <v>18</v>
      </c>
      <c r="B23" s="5" t="s">
        <v>135</v>
      </c>
      <c r="C23" s="5" t="s">
        <v>136</v>
      </c>
      <c r="D23" s="69">
        <f>D20/D21*1000</f>
        <v>130.36114416021258</v>
      </c>
      <c r="E23" s="70" t="s">
        <v>133</v>
      </c>
      <c r="F23" s="5" t="s">
        <v>137</v>
      </c>
      <c r="G23" s="6" t="str">
        <f>IF(D23&gt;0,"OK","CHECK")</f>
        <v>OK</v>
      </c>
    </row>
  </sheetData>
  <mergeCells count="2">
    <mergeCell ref="A1:G2"/>
    <mergeCell ref="A3:G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5"/>
  <sheetViews>
    <sheetView showGridLines="0" workbookViewId="0">
      <selection activeCell="A3" sqref="A3:J3"/>
    </sheetView>
  </sheetViews>
  <sheetFormatPr defaultRowHeight="13.8"/>
  <cols>
    <col min="1" max="1" width="25" customWidth="1"/>
    <col min="2" max="2" width="16" customWidth="1"/>
    <col min="3" max="3" width="4" customWidth="1"/>
    <col min="4" max="4" width="34" customWidth="1"/>
    <col min="5" max="5" width="18" customWidth="1"/>
    <col min="6" max="6" width="4" customWidth="1"/>
    <col min="7" max="7" width="24" customWidth="1"/>
    <col min="8" max="8" width="16" customWidth="1"/>
  </cols>
  <sheetData>
    <row r="1" spans="1:10" ht="24" customHeight="1">
      <c r="A1" s="10" t="s">
        <v>21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22.05" customHeight="1">
      <c r="A2" s="10"/>
      <c r="B2" s="10"/>
      <c r="C2" s="10"/>
      <c r="D2" s="10"/>
      <c r="E2" s="10"/>
      <c r="F2" s="10"/>
      <c r="G2" s="10"/>
      <c r="H2" s="10"/>
      <c r="I2" s="10"/>
      <c r="J2" s="10"/>
    </row>
    <row r="3" spans="1:10" ht="30" customHeight="1">
      <c r="A3" s="11" t="s">
        <v>138</v>
      </c>
      <c r="B3" s="11"/>
      <c r="C3" s="11"/>
      <c r="D3" s="11"/>
      <c r="E3" s="11"/>
      <c r="F3" s="11"/>
      <c r="G3" s="11"/>
      <c r="H3" s="11"/>
      <c r="I3" s="11"/>
      <c r="J3" s="11"/>
    </row>
    <row r="5" spans="1:10">
      <c r="A5" s="4" t="s">
        <v>139</v>
      </c>
      <c r="B5" s="4" t="s">
        <v>140</v>
      </c>
      <c r="D5" s="4" t="s">
        <v>141</v>
      </c>
      <c r="E5" s="4" t="s">
        <v>133</v>
      </c>
      <c r="G5" s="4" t="s">
        <v>142</v>
      </c>
      <c r="H5" s="4" t="s">
        <v>110</v>
      </c>
    </row>
    <row r="6" spans="1:10">
      <c r="A6" s="5" t="s">
        <v>143</v>
      </c>
      <c r="B6" s="7">
        <f>Calculations!D11</f>
        <v>22.408370863316531</v>
      </c>
      <c r="D6" s="5" t="s">
        <v>144</v>
      </c>
      <c r="E6" s="8">
        <f>Calculations!D22</f>
        <v>144.84571573356951</v>
      </c>
      <c r="G6" s="5" t="s">
        <v>145</v>
      </c>
      <c r="H6" s="8">
        <f>Inputs!C10*100</f>
        <v>98</v>
      </c>
    </row>
    <row r="7" spans="1:10">
      <c r="A7" s="5" t="s">
        <v>146</v>
      </c>
      <c r="B7" s="7">
        <f>Calculations!D12</f>
        <v>21.960203446050201</v>
      </c>
      <c r="D7" s="5" t="s">
        <v>147</v>
      </c>
      <c r="E7" s="8">
        <f>Calculations!D23</f>
        <v>130.36114416021258</v>
      </c>
      <c r="G7" s="5" t="s">
        <v>51</v>
      </c>
      <c r="H7" s="8">
        <f>Inputs!C11*100</f>
        <v>90</v>
      </c>
    </row>
    <row r="8" spans="1:10">
      <c r="A8" s="5" t="s">
        <v>148</v>
      </c>
      <c r="B8" s="7">
        <f>Calculations!D13</f>
        <v>19.76418310144518</v>
      </c>
      <c r="G8" s="5" t="s">
        <v>149</v>
      </c>
      <c r="H8" s="8">
        <f>Calculations!D15*100</f>
        <v>88.2</v>
      </c>
    </row>
    <row r="12" spans="1:10">
      <c r="A12" s="4" t="s">
        <v>150</v>
      </c>
      <c r="B12" s="4" t="s">
        <v>151</v>
      </c>
      <c r="D12" s="4" t="s">
        <v>152</v>
      </c>
      <c r="E12" s="4" t="s">
        <v>25</v>
      </c>
    </row>
    <row r="13" spans="1:10">
      <c r="A13" s="5" t="s">
        <v>147</v>
      </c>
      <c r="B13" s="9">
        <f>Calculations!D13*Inputs!C15/Inputs!C16</f>
        <v>7.9142830200000001</v>
      </c>
      <c r="D13" s="5" t="s">
        <v>153</v>
      </c>
      <c r="E13" s="7">
        <f>Calculations!D10*Inputs!C8*Inputs!C18</f>
        <v>10.346122552397825</v>
      </c>
    </row>
    <row r="14" spans="1:10">
      <c r="A14" s="5" t="s">
        <v>154</v>
      </c>
      <c r="B14" s="9">
        <f>Calculations!D12*Inputs!C15/Inputs!C16-B13</f>
        <v>0.8793647800000004</v>
      </c>
      <c r="D14" s="5" t="s">
        <v>155</v>
      </c>
      <c r="E14" s="7">
        <f>Calculations!D20</f>
        <v>8.6907429440141719</v>
      </c>
    </row>
    <row r="15" spans="1:10">
      <c r="A15" s="5" t="s">
        <v>156</v>
      </c>
      <c r="B15" s="9">
        <f>Calculations!D16</f>
        <v>0.17946220000000015</v>
      </c>
      <c r="D15" s="5" t="s">
        <v>157</v>
      </c>
      <c r="E15" s="8">
        <f>E14/E13*100</f>
        <v>84</v>
      </c>
    </row>
  </sheetData>
  <mergeCells count="2">
    <mergeCell ref="A1:J2"/>
    <mergeCell ref="A3:J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50"/>
  <sheetViews>
    <sheetView showGridLines="0" workbookViewId="0">
      <selection activeCell="A49" sqref="A49:N50"/>
    </sheetView>
  </sheetViews>
  <sheetFormatPr defaultRowHeight="13.8"/>
  <cols>
    <col min="1" max="14" width="12" customWidth="1"/>
  </cols>
  <sheetData>
    <row r="1" spans="1:14" ht="24" customHeight="1">
      <c r="A1" s="10" t="s">
        <v>158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22.05" customHeight="1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3" spans="1:14" ht="30" customHeight="1">
      <c r="A3" s="11" t="s">
        <v>167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5" spans="1:14" ht="22.05" customHeight="1">
      <c r="A5" s="28" t="s">
        <v>159</v>
      </c>
      <c r="B5" s="28" t="s">
        <v>159</v>
      </c>
      <c r="C5" s="28" t="s">
        <v>159</v>
      </c>
      <c r="E5" s="38" t="s">
        <v>160</v>
      </c>
      <c r="F5" s="38" t="s">
        <v>160</v>
      </c>
      <c r="G5" s="38" t="s">
        <v>160</v>
      </c>
      <c r="I5" s="48" t="s">
        <v>149</v>
      </c>
      <c r="J5" s="48" t="s">
        <v>149</v>
      </c>
      <c r="K5" s="48" t="s">
        <v>149</v>
      </c>
    </row>
    <row r="6" spans="1:14" ht="22.05" customHeight="1">
      <c r="A6" s="29">
        <f>Calculations!D13</f>
        <v>19.76418310144518</v>
      </c>
      <c r="B6" s="30"/>
      <c r="C6" s="31"/>
      <c r="E6" s="39">
        <f>Calculations!D14</f>
        <v>20.804403264679138</v>
      </c>
      <c r="F6" s="40"/>
      <c r="G6" s="41"/>
      <c r="I6" s="49">
        <f>Calculations!D15</f>
        <v>0.88200000000000001</v>
      </c>
      <c r="J6" s="50"/>
      <c r="K6" s="51"/>
    </row>
    <row r="7" spans="1:14" ht="22.05" customHeight="1">
      <c r="A7" s="32"/>
      <c r="B7" s="33"/>
      <c r="C7" s="34"/>
      <c r="E7" s="42"/>
      <c r="F7" s="43"/>
      <c r="G7" s="44"/>
      <c r="I7" s="52"/>
      <c r="J7" s="53"/>
      <c r="K7" s="54"/>
    </row>
    <row r="8" spans="1:14" ht="22.05" customHeight="1">
      <c r="A8" s="35"/>
      <c r="B8" s="36"/>
      <c r="C8" s="37"/>
      <c r="E8" s="45"/>
      <c r="F8" s="46"/>
      <c r="G8" s="47"/>
      <c r="I8" s="55"/>
      <c r="J8" s="56"/>
      <c r="K8" s="57"/>
    </row>
    <row r="9" spans="1:14" ht="22.05" customHeight="1"/>
    <row r="10" spans="1:14" ht="22.05" customHeight="1">
      <c r="A10" s="28" t="s">
        <v>161</v>
      </c>
      <c r="B10" s="28" t="s">
        <v>161</v>
      </c>
      <c r="C10" s="28" t="s">
        <v>161</v>
      </c>
      <c r="E10" s="58" t="s">
        <v>162</v>
      </c>
      <c r="F10" s="58" t="s">
        <v>162</v>
      </c>
      <c r="G10" s="58" t="s">
        <v>162</v>
      </c>
      <c r="I10" s="38" t="s">
        <v>163</v>
      </c>
      <c r="J10" s="38" t="s">
        <v>163</v>
      </c>
      <c r="K10" s="38" t="s">
        <v>163</v>
      </c>
    </row>
    <row r="11" spans="1:14" ht="22.05" customHeight="1">
      <c r="A11" s="29">
        <f>Calculations!D20</f>
        <v>8.6907429440141719</v>
      </c>
      <c r="B11" s="30"/>
      <c r="C11" s="31"/>
      <c r="E11" s="59">
        <f>Calculations!D23</f>
        <v>130.36114416021258</v>
      </c>
      <c r="F11" s="60"/>
      <c r="G11" s="61"/>
      <c r="I11" s="68">
        <f>Calculations!D18</f>
        <v>145.30343687385763</v>
      </c>
      <c r="J11" s="40"/>
      <c r="K11" s="41"/>
    </row>
    <row r="12" spans="1:14" ht="22.05" customHeight="1">
      <c r="A12" s="32"/>
      <c r="B12" s="33"/>
      <c r="C12" s="34"/>
      <c r="E12" s="62"/>
      <c r="F12" s="63"/>
      <c r="G12" s="64"/>
      <c r="I12" s="42"/>
      <c r="J12" s="43"/>
      <c r="K12" s="44"/>
    </row>
    <row r="13" spans="1:14" ht="22.05" customHeight="1">
      <c r="A13" s="35"/>
      <c r="B13" s="36"/>
      <c r="C13" s="37"/>
      <c r="E13" s="65"/>
      <c r="F13" s="66"/>
      <c r="G13" s="67"/>
      <c r="I13" s="45"/>
      <c r="J13" s="46"/>
      <c r="K13" s="47"/>
    </row>
    <row r="49" spans="1:14">
      <c r="A49" s="22" t="s">
        <v>164</v>
      </c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4"/>
    </row>
    <row r="50" spans="1:14">
      <c r="A50" s="25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7"/>
    </row>
  </sheetData>
  <mergeCells count="15">
    <mergeCell ref="A49:N50"/>
    <mergeCell ref="A10:C10"/>
    <mergeCell ref="A11:C13"/>
    <mergeCell ref="E10:G10"/>
    <mergeCell ref="E11:G13"/>
    <mergeCell ref="I10:K10"/>
    <mergeCell ref="I11:K13"/>
    <mergeCell ref="A1:N2"/>
    <mergeCell ref="A3:N3"/>
    <mergeCell ref="A5:C5"/>
    <mergeCell ref="A6:C8"/>
    <mergeCell ref="E5:G5"/>
    <mergeCell ref="E6:G8"/>
    <mergeCell ref="I5:K5"/>
    <mergeCell ref="I6:K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Inputs</vt:lpstr>
      <vt:lpstr>Calculations</vt:lpstr>
      <vt:lpstr>Chart Data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Pardis</cp:lastModifiedBy>
  <dcterms:modified xsi:type="dcterms:W3CDTF">2026-08-16T11:38:14Z</dcterms:modified>
</cp:coreProperties>
</file>