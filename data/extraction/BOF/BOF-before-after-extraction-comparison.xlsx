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8AA0640D-AB34-4FB4-9203-013A43036B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Six Tests" sheetId="1" r:id="rId1"/>
    <sheet name="Best and Wor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43" i="1"/>
  <c r="C43" i="1" s="1"/>
  <c r="B42" i="1"/>
  <c r="H42" i="1" s="1"/>
  <c r="B41" i="1"/>
  <c r="C41" i="1" s="1"/>
  <c r="B40" i="1"/>
  <c r="H40" i="1" s="1"/>
  <c r="B39" i="1"/>
  <c r="H39" i="1" s="1"/>
  <c r="B38" i="1"/>
  <c r="F38" i="1" s="1"/>
  <c r="B37" i="1"/>
  <c r="H37" i="1" s="1"/>
  <c r="H36" i="1"/>
  <c r="G36" i="1"/>
  <c r="B36" i="1"/>
  <c r="D36" i="1" s="1"/>
  <c r="B35" i="1"/>
  <c r="D35" i="1" s="1"/>
  <c r="B34" i="1"/>
  <c r="H34" i="1" s="1"/>
  <c r="H33" i="1"/>
  <c r="B33" i="1"/>
  <c r="G33" i="1" s="1"/>
  <c r="B32" i="1"/>
  <c r="H32" i="1" s="1"/>
  <c r="H18" i="1"/>
  <c r="D20" i="2" s="1"/>
  <c r="G18" i="1"/>
  <c r="C20" i="2" s="1"/>
  <c r="F18" i="1"/>
  <c r="E18" i="1"/>
  <c r="D18" i="1"/>
  <c r="C18" i="1"/>
  <c r="D43" i="1" l="1"/>
  <c r="F43" i="1"/>
  <c r="C34" i="1"/>
  <c r="E43" i="1"/>
  <c r="D34" i="1"/>
  <c r="G37" i="1"/>
  <c r="E34" i="1"/>
  <c r="G43" i="1"/>
  <c r="F34" i="1"/>
  <c r="G38" i="1"/>
  <c r="H43" i="1"/>
  <c r="G34" i="1"/>
  <c r="H38" i="1"/>
  <c r="C39" i="1"/>
  <c r="E35" i="1"/>
  <c r="F35" i="1"/>
  <c r="C33" i="1"/>
  <c r="G35" i="1"/>
  <c r="D33" i="1"/>
  <c r="H35" i="1"/>
  <c r="D42" i="1"/>
  <c r="E33" i="1"/>
  <c r="E42" i="1"/>
  <c r="F33" i="1"/>
  <c r="E36" i="1"/>
  <c r="F42" i="1"/>
  <c r="F36" i="1"/>
  <c r="G42" i="1"/>
  <c r="H44" i="1"/>
  <c r="H4" i="1" s="1"/>
  <c r="D6" i="2" s="1"/>
  <c r="C32" i="1"/>
  <c r="D41" i="1"/>
  <c r="D32" i="1"/>
  <c r="E41" i="1"/>
  <c r="E32" i="1"/>
  <c r="D39" i="1"/>
  <c r="F41" i="1"/>
  <c r="F32" i="1"/>
  <c r="C37" i="1"/>
  <c r="E39" i="1"/>
  <c r="G41" i="1"/>
  <c r="B44" i="1"/>
  <c r="G32" i="1"/>
  <c r="D37" i="1"/>
  <c r="F39" i="1"/>
  <c r="H41" i="1"/>
  <c r="C35" i="1"/>
  <c r="E37" i="1"/>
  <c r="G39" i="1"/>
  <c r="F37" i="1"/>
  <c r="C42" i="1"/>
  <c r="D40" i="1"/>
  <c r="D38" i="1"/>
  <c r="F40" i="1"/>
  <c r="C36" i="1"/>
  <c r="E38" i="1"/>
  <c r="G40" i="1"/>
  <c r="C40" i="1"/>
  <c r="C38" i="1"/>
  <c r="E40" i="1"/>
  <c r="H11" i="1" l="1"/>
  <c r="D13" i="2" s="1"/>
  <c r="H6" i="1"/>
  <c r="D8" i="2" s="1"/>
  <c r="H9" i="1"/>
  <c r="D11" i="2" s="1"/>
  <c r="H14" i="1"/>
  <c r="D16" i="2" s="1"/>
  <c r="H12" i="1"/>
  <c r="D14" i="2" s="1"/>
  <c r="E44" i="1"/>
  <c r="F9" i="1"/>
  <c r="H19" i="1"/>
  <c r="D21" i="2" s="1"/>
  <c r="H15" i="1"/>
  <c r="D17" i="2" s="1"/>
  <c r="H7" i="1"/>
  <c r="D9" i="2" s="1"/>
  <c r="D44" i="1"/>
  <c r="D9" i="1" s="1"/>
  <c r="H10" i="1"/>
  <c r="D12" i="2" s="1"/>
  <c r="H8" i="1"/>
  <c r="D10" i="2" s="1"/>
  <c r="D13" i="1"/>
  <c r="C44" i="1"/>
  <c r="C10" i="1" s="1"/>
  <c r="G44" i="1"/>
  <c r="G11" i="1" s="1"/>
  <c r="C13" i="2" s="1"/>
  <c r="F44" i="1"/>
  <c r="F11" i="1" s="1"/>
  <c r="F4" i="1"/>
  <c r="H13" i="1"/>
  <c r="D15" i="2" s="1"/>
  <c r="H5" i="1"/>
  <c r="D7" i="2" s="1"/>
  <c r="D10" i="1" l="1"/>
  <c r="F12" i="1"/>
  <c r="C4" i="1"/>
  <c r="C12" i="1"/>
  <c r="E15" i="1"/>
  <c r="E7" i="1"/>
  <c r="E19" i="1"/>
  <c r="E8" i="1"/>
  <c r="E5" i="1"/>
  <c r="E6" i="1"/>
  <c r="E14" i="1"/>
  <c r="C19" i="1"/>
  <c r="C5" i="1"/>
  <c r="C13" i="1"/>
  <c r="C15" i="1"/>
  <c r="C6" i="1"/>
  <c r="C11" i="1"/>
  <c r="D19" i="1"/>
  <c r="D15" i="1"/>
  <c r="D5" i="1"/>
  <c r="D6" i="1"/>
  <c r="D8" i="1"/>
  <c r="D14" i="1"/>
  <c r="D7" i="1"/>
  <c r="C8" i="1"/>
  <c r="F7" i="1"/>
  <c r="F19" i="1"/>
  <c r="F10" i="1"/>
  <c r="F6" i="1"/>
  <c r="F5" i="1"/>
  <c r="F14" i="1"/>
  <c r="F8" i="1"/>
  <c r="F15" i="1"/>
  <c r="D4" i="1"/>
  <c r="E12" i="1"/>
  <c r="C9" i="1"/>
  <c r="D11" i="1"/>
  <c r="G19" i="1"/>
  <c r="C21" i="2" s="1"/>
  <c r="G5" i="1"/>
  <c r="C7" i="2" s="1"/>
  <c r="G15" i="1"/>
  <c r="C17" i="2" s="1"/>
  <c r="G7" i="1"/>
  <c r="C9" i="2" s="1"/>
  <c r="G14" i="1"/>
  <c r="C16" i="2" s="1"/>
  <c r="G8" i="1"/>
  <c r="C10" i="2" s="1"/>
  <c r="G6" i="1"/>
  <c r="C8" i="2" s="1"/>
  <c r="G9" i="1"/>
  <c r="C11" i="2" s="1"/>
  <c r="G10" i="1"/>
  <c r="C12" i="2" s="1"/>
  <c r="E4" i="1"/>
  <c r="C7" i="1"/>
  <c r="E9" i="1"/>
  <c r="G4" i="1"/>
  <c r="C6" i="2" s="1"/>
  <c r="C14" i="1"/>
  <c r="E11" i="1"/>
  <c r="G12" i="1"/>
  <c r="C14" i="2" s="1"/>
  <c r="E13" i="1"/>
  <c r="E10" i="1"/>
  <c r="D12" i="1"/>
  <c r="G13" i="1"/>
  <c r="C15" i="2" s="1"/>
  <c r="F13" i="1"/>
</calcChain>
</file>

<file path=xl/sharedStrings.xml><?xml version="1.0" encoding="utf-8"?>
<sst xmlns="http://schemas.openxmlformats.org/spreadsheetml/2006/main" count="97" uniqueCount="51">
  <si>
    <t>Modelled BOF composition before and after HCl extraction</t>
  </si>
  <si>
    <t>Component (wt%)</t>
  </si>
  <si>
    <t>Before extraction</t>
  </si>
  <si>
    <t>BOF1</t>
  </si>
  <si>
    <t>BOF2</t>
  </si>
  <si>
    <t>BOF3</t>
  </si>
  <si>
    <t>BOF4</t>
  </si>
  <si>
    <t>BOF5</t>
  </si>
  <si>
    <t>BOF6</t>
  </si>
  <si>
    <t>CaO</t>
  </si>
  <si>
    <t>Fe</t>
  </si>
  <si>
    <t>SiO₂</t>
  </si>
  <si>
    <t>MgO</t>
  </si>
  <si>
    <t>MnO</t>
  </si>
  <si>
    <t>P₂O₅</t>
  </si>
  <si>
    <t>Al₂O₃</t>
  </si>
  <si>
    <t>V₂O₅</t>
  </si>
  <si>
    <t>Cr₂O₃</t>
  </si>
  <si>
    <t>S</t>
  </si>
  <si>
    <t>MoO₃</t>
  </si>
  <si>
    <t>Other components</t>
  </si>
  <si>
    <t>Metric</t>
  </si>
  <si>
    <t>Ca recovery</t>
  </si>
  <si>
    <t>Estimated dry solid mass (g)</t>
  </si>
  <si>
    <t>Case classification</t>
  </si>
  <si>
    <t>Raw BOF</t>
  </si>
  <si>
    <t>Intermediate</t>
  </si>
  <si>
    <t>Worst Ca recovery</t>
  </si>
  <si>
    <t>Best Ca recovery</t>
  </si>
  <si>
    <t>Calculation inputs and residual mass balance</t>
  </si>
  <si>
    <t>Trial</t>
  </si>
  <si>
    <t>Fe recovery</t>
  </si>
  <si>
    <t>Mg recovery</t>
  </si>
  <si>
    <t>Al recovery</t>
  </si>
  <si>
    <t>Mn recovery</t>
  </si>
  <si>
    <t>Cr recovery</t>
  </si>
  <si>
    <t>Residual mass basis</t>
  </si>
  <si>
    <t>Initial mass (g)</t>
  </si>
  <si>
    <t>BOF1 (g)</t>
  </si>
  <si>
    <t>BOF2 (g)</t>
  </si>
  <si>
    <t>BOF3 (g)</t>
  </si>
  <si>
    <t>BOF4 (g)</t>
  </si>
  <si>
    <t>BOF5 (g)</t>
  </si>
  <si>
    <t>BOF6 (g)</t>
  </si>
  <si>
    <t>Total residual mass (g)</t>
  </si>
  <si>
    <t>BOF composition: best and worst Ca-extraction cases</t>
  </si>
  <si>
    <t>BOF5: worst case</t>
  </si>
  <si>
    <t>BOF6: best case</t>
  </si>
  <si>
    <t>N/A</t>
  </si>
  <si>
    <t>BOF composition before and after HCl extraction</t>
  </si>
  <si>
    <t>BOF6 is the best case at 91.0% Ca recovery. BOF5 is the worst case at 60.2%. Higher post-extraction percentages of relatively insoluble components indicate relative enrichment, not an increase in their mass.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</si>
</sst>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9"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1"/>
      <color rgb="FFFFFFFF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664D0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237A84"/>
      </patternFill>
    </fill>
    <fill>
      <patternFill patternType="solid">
        <fgColor rgb="FFEAF3F5"/>
      </patternFill>
    </fill>
    <fill>
      <patternFill patternType="solid">
        <fgColor rgb="FFD9A441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9A441"/>
      </left>
      <right/>
      <top style="thin">
        <color rgb="FFD9A441"/>
      </top>
      <bottom/>
      <diagonal/>
    </border>
    <border>
      <left/>
      <right/>
      <top style="thin">
        <color rgb="FFD9A441"/>
      </top>
      <bottom/>
      <diagonal/>
    </border>
    <border>
      <left/>
      <right style="thin">
        <color rgb="FFD9A441"/>
      </right>
      <top style="thin">
        <color rgb="FFD9A441"/>
      </top>
      <bottom/>
      <diagonal/>
    </border>
    <border>
      <left style="thin">
        <color rgb="FFD9A441"/>
      </left>
      <right/>
      <top/>
      <bottom style="thin">
        <color rgb="FFD9A441"/>
      </bottom>
      <diagonal/>
    </border>
    <border>
      <left/>
      <right/>
      <top/>
      <bottom style="thin">
        <color rgb="FFD9A441"/>
      </bottom>
      <diagonal/>
    </border>
    <border>
      <left/>
      <right style="thin">
        <color rgb="FFD9A441"/>
      </right>
      <top/>
      <bottom style="thin">
        <color rgb="FFD9A441"/>
      </bottom>
      <diagonal/>
    </border>
    <border>
      <left style="thin">
        <color rgb="FFCBD5DC"/>
      </left>
      <right/>
      <top style="thin">
        <color rgb="FFCBD5DC"/>
      </top>
      <bottom style="thin">
        <color rgb="FFCBD5DC"/>
      </bottom>
      <diagonal/>
    </border>
    <border>
      <left/>
      <right/>
      <top style="thin">
        <color rgb="FFCBD5DC"/>
      </top>
      <bottom style="thin">
        <color rgb="FFCBD5DC"/>
      </bottom>
      <diagonal/>
    </border>
    <border>
      <left/>
      <right style="thin">
        <color rgb="FFCBD5DC"/>
      </right>
      <top style="thin">
        <color rgb="FFCBD5DC"/>
      </top>
      <bottom style="thin">
        <color rgb="FFCBD5DC"/>
      </bottom>
      <diagonal/>
    </border>
    <border>
      <left/>
      <right/>
      <top/>
      <bottom style="thin">
        <color rgb="FFE1E6EA"/>
      </bottom>
      <diagonal/>
    </border>
    <border>
      <left/>
      <right/>
      <top style="thin">
        <color rgb="FFE1E6EA"/>
      </top>
      <bottom style="thin">
        <color rgb="FFE1E6EA"/>
      </bottom>
      <diagonal/>
    </border>
    <border>
      <left/>
      <right/>
      <top style="thin">
        <color rgb="FFE1E6EA"/>
      </top>
      <bottom style="thin">
        <color rgb="FFCBD5D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4" borderId="10" xfId="0" applyNumberFormat="1" applyFont="1" applyFill="1" applyBorder="1" applyAlignment="1">
      <alignment horizontal="center"/>
    </xf>
    <xf numFmtId="10" fontId="1" fillId="4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1" xfId="0" applyNumberFormat="1" applyFont="1" applyFill="1" applyBorder="1" applyAlignment="1">
      <alignment horizontal="center"/>
    </xf>
    <xf numFmtId="10" fontId="1" fillId="4" borderId="11" xfId="0" applyNumberFormat="1" applyFont="1" applyFill="1" applyBorder="1" applyAlignment="1">
      <alignment horizontal="center"/>
    </xf>
    <xf numFmtId="0" fontId="1" fillId="4" borderId="12" xfId="0" applyNumberFormat="1" applyFont="1" applyFill="1" applyBorder="1" applyAlignment="1">
      <alignment horizontal="center"/>
    </xf>
    <xf numFmtId="10" fontId="1" fillId="4" borderId="12" xfId="0" applyNumberFormat="1" applyFont="1" applyFill="1" applyBorder="1" applyAlignment="1">
      <alignment horizontal="center"/>
    </xf>
    <xf numFmtId="164" fontId="1" fillId="6" borderId="10" xfId="0" applyNumberFormat="1" applyFont="1" applyFill="1" applyBorder="1" applyAlignment="1">
      <alignment horizontal="center"/>
    </xf>
    <xf numFmtId="2" fontId="1" fillId="6" borderId="11" xfId="0" applyNumberFormat="1" applyFont="1" applyFill="1" applyBorder="1" applyAlignment="1">
      <alignment horizontal="center"/>
    </xf>
    <xf numFmtId="0" fontId="5" fillId="6" borderId="10" xfId="0" applyNumberFormat="1" applyFont="1" applyFill="1" applyBorder="1" applyAlignment="1">
      <alignment horizontal="center"/>
    </xf>
    <xf numFmtId="0" fontId="5" fillId="6" borderId="11" xfId="0" applyNumberFormat="1" applyFont="1" applyFill="1" applyBorder="1" applyAlignment="1">
      <alignment horizontal="center"/>
    </xf>
    <xf numFmtId="0" fontId="5" fillId="6" borderId="12" xfId="0" applyNumberFormat="1" applyFont="1" applyFill="1" applyBorder="1" applyAlignment="1">
      <alignment horizontal="center" wrapText="1"/>
    </xf>
    <xf numFmtId="0" fontId="7" fillId="8" borderId="0" xfId="0" applyNumberFormat="1" applyFont="1" applyFill="1" applyBorder="1" applyAlignment="1">
      <alignment vertical="center"/>
    </xf>
    <xf numFmtId="0" fontId="1" fillId="2" borderId="10" xfId="0" applyNumberFormat="1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0" fontId="1" fillId="2" borderId="11" xfId="0" applyNumberFormat="1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0" fontId="1" fillId="2" borderId="12" xfId="0" applyNumberFormat="1" applyFont="1" applyFill="1" applyBorder="1" applyAlignment="1">
      <alignment horizontal="center"/>
    </xf>
    <xf numFmtId="164" fontId="1" fillId="2" borderId="12" xfId="0" applyNumberFormat="1" applyFont="1" applyFill="1" applyBorder="1" applyAlignment="1">
      <alignment horizontal="center"/>
    </xf>
    <xf numFmtId="0" fontId="6" fillId="5" borderId="7" xfId="0" applyNumberFormat="1" applyFont="1" applyFill="1" applyBorder="1" applyAlignment="1">
      <alignment horizontal="center" vertical="center" wrapText="1"/>
    </xf>
    <xf numFmtId="0" fontId="6" fillId="5" borderId="8" xfId="0" applyNumberFormat="1" applyFont="1" applyFill="1" applyBorder="1" applyAlignment="1">
      <alignment horizontal="center" vertical="center" wrapText="1"/>
    </xf>
    <xf numFmtId="0" fontId="6" fillId="5" borderId="9" xfId="0" applyNumberFormat="1" applyFont="1" applyFill="1" applyBorder="1" applyAlignment="1">
      <alignment horizontal="center" vertical="center" wrapText="1"/>
    </xf>
    <xf numFmtId="0" fontId="1" fillId="7" borderId="10" xfId="0" applyNumberFormat="1" applyFont="1" applyFill="1" applyBorder="1" applyAlignment="1">
      <alignment horizontal="center"/>
    </xf>
    <xf numFmtId="165" fontId="1" fillId="7" borderId="10" xfId="0" applyNumberFormat="1" applyFont="1" applyFill="1" applyBorder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165" fontId="1" fillId="7" borderId="11" xfId="0" applyNumberFormat="1" applyFont="1" applyFill="1" applyBorder="1" applyAlignment="1">
      <alignment horizontal="center"/>
    </xf>
    <xf numFmtId="0" fontId="2" fillId="7" borderId="12" xfId="0" applyNumberFormat="1" applyFont="1" applyFill="1" applyBorder="1" applyAlignment="1">
      <alignment horizontal="center"/>
    </xf>
    <xf numFmtId="165" fontId="2" fillId="7" borderId="12" xfId="0" applyNumberFormat="1" applyFont="1" applyFill="1" applyBorder="1" applyAlignment="1">
      <alignment horizontal="center"/>
    </xf>
    <xf numFmtId="0" fontId="8" fillId="2" borderId="1" xfId="0" applyNumberFormat="1" applyFont="1" applyFill="1" applyBorder="1" applyAlignment="1">
      <alignment vertical="center" wrapText="1"/>
    </xf>
    <xf numFmtId="0" fontId="8" fillId="2" borderId="2" xfId="0" applyNumberFormat="1" applyFont="1" applyFill="1" applyBorder="1" applyAlignment="1">
      <alignment vertical="center" wrapText="1"/>
    </xf>
    <xf numFmtId="0" fontId="8" fillId="2" borderId="3" xfId="0" applyNumberFormat="1" applyFont="1" applyFill="1" applyBorder="1" applyAlignment="1">
      <alignment vertical="center" wrapText="1"/>
    </xf>
    <xf numFmtId="0" fontId="8" fillId="2" borderId="4" xfId="0" applyNumberFormat="1" applyFont="1" applyFill="1" applyBorder="1" applyAlignment="1">
      <alignment vertical="center" wrapText="1"/>
    </xf>
    <xf numFmtId="0" fontId="8" fillId="2" borderId="5" xfId="0" applyNumberFormat="1" applyFont="1" applyFill="1" applyBorder="1" applyAlignment="1">
      <alignment vertical="center" wrapText="1"/>
    </xf>
    <xf numFmtId="0" fontId="8" fillId="2" borderId="6" xfId="0" applyNumberFormat="1" applyFont="1" applyFill="1" applyBorder="1" applyAlignment="1">
      <alignment vertical="center" wrapText="1"/>
    </xf>
    <xf numFmtId="0" fontId="6" fillId="9" borderId="7" xfId="0" applyNumberFormat="1" applyFont="1" applyFill="1" applyBorder="1" applyAlignment="1">
      <alignment horizontal="center" vertical="center" wrapText="1"/>
    </xf>
    <xf numFmtId="0" fontId="6" fillId="9" borderId="8" xfId="0" applyNumberFormat="1" applyFont="1" applyFill="1" applyBorder="1" applyAlignment="1">
      <alignment horizontal="center" vertical="center" wrapText="1"/>
    </xf>
    <xf numFmtId="0" fontId="6" fillId="9" borderId="9" xfId="0" applyNumberFormat="1" applyFont="1" applyFill="1" applyBorder="1" applyAlignment="1">
      <alignment horizontal="center" vertical="center" wrapText="1"/>
    </xf>
    <xf numFmtId="0" fontId="6" fillId="9" borderId="0" xfId="0" applyNumberFormat="1" applyFont="1" applyFill="1" applyBorder="1"/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2" fontId="1" fillId="6" borderId="12" xfId="0" applyNumberFormat="1" applyFont="1" applyFill="1" applyBorder="1" applyAlignment="1">
      <alignment horizontal="center"/>
    </xf>
    <xf numFmtId="0" fontId="5" fillId="6" borderId="12" xfId="0" applyNumberFormat="1" applyFont="1" applyFill="1" applyBorder="1" applyAlignment="1">
      <alignment horizontal="center"/>
    </xf>
    <xf numFmtId="0" fontId="7" fillId="9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b1040b45d1334b18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304800</xdr:colOff>
      <xdr:row>36</xdr:row>
      <xdr:rowOff>99060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B076001-C208-F273-54FD-000EA3A148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Abbas Rajaei" id="{32038E09-FE9A-4474-8D16-06C54772F5B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A2" dT="2026-08-13T15:17:49.362" personId="{32038E09-FE9A-4474-8D16-06C54772F5BE}" id="{7EAC03D9-266C-43EA-1EF2-E14E4DDBD7B1}">
    <xltc:text>The post-extraction compositions are modelled mass-balance estimates and are not measured post-extraction XRF data.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25ddae6ad4744b6c" Type="http://schemas.microsoft.com/office/2017/10/relationships/threadedComment" Target="../threadedcomments/threadedcomment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4"/>
  <sheetViews>
    <sheetView showGridLines="0" topLeftCell="A34" workbookViewId="0">
      <selection activeCell="L37" sqref="L37"/>
    </sheetView>
  </sheetViews>
  <sheetFormatPr defaultRowHeight="13.8"/>
  <cols>
    <col min="1" max="1" width="24" customWidth="1"/>
    <col min="2" max="8" width="18" customWidth="1"/>
  </cols>
  <sheetData>
    <row r="1" spans="1:8" s="1" customFormat="1" ht="30" customHeight="1">
      <c r="A1" s="18" t="s">
        <v>49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  <c r="G1" s="18" t="s">
        <v>0</v>
      </c>
      <c r="H1" s="18" t="s">
        <v>0</v>
      </c>
    </row>
    <row r="3" spans="1:8" s="5" customFormat="1" ht="34.049999999999997" customHeight="1">
      <c r="A3" s="40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2" t="s">
        <v>8</v>
      </c>
    </row>
    <row r="4" spans="1:8" s="8" customFormat="1">
      <c r="A4" s="6" t="s">
        <v>9</v>
      </c>
      <c r="B4" s="7">
        <v>0.51790000000000003</v>
      </c>
      <c r="C4" s="7">
        <f t="shared" ref="C4:H15" si="0">C32/C$44</f>
        <v>0.25068579350097081</v>
      </c>
      <c r="D4" s="7">
        <f t="shared" si="0"/>
        <v>0.30268734493186428</v>
      </c>
      <c r="E4" s="7">
        <f t="shared" si="0"/>
        <v>0.22424012084940972</v>
      </c>
      <c r="F4" s="7">
        <f t="shared" si="0"/>
        <v>0.28409766852081425</v>
      </c>
      <c r="G4" s="7">
        <f t="shared" si="0"/>
        <v>0.34144658288706975</v>
      </c>
      <c r="H4" s="7">
        <f t="shared" si="0"/>
        <v>0.13348855591449582</v>
      </c>
    </row>
    <row r="5" spans="1:8" s="8" customFormat="1">
      <c r="A5" s="9" t="s">
        <v>10</v>
      </c>
      <c r="B5" s="10">
        <v>0.1865</v>
      </c>
      <c r="C5" s="10">
        <f t="shared" si="0"/>
        <v>0.24048399524209679</v>
      </c>
      <c r="D5" s="10">
        <f t="shared" si="0"/>
        <v>0.21800034690014547</v>
      </c>
      <c r="E5" s="10">
        <f t="shared" si="0"/>
        <v>0.20187672590468672</v>
      </c>
      <c r="F5" s="10">
        <f t="shared" si="0"/>
        <v>0.23314605274058328</v>
      </c>
      <c r="G5" s="10">
        <f t="shared" si="0"/>
        <v>0.22243602231118775</v>
      </c>
      <c r="H5" s="10">
        <f t="shared" si="0"/>
        <v>0.20296354846839418</v>
      </c>
    </row>
    <row r="6" spans="1:8" s="8" customFormat="1">
      <c r="A6" s="9" t="s">
        <v>11</v>
      </c>
      <c r="B6" s="10">
        <v>0.113</v>
      </c>
      <c r="C6" s="10">
        <f t="shared" si="0"/>
        <v>0.22416738677959941</v>
      </c>
      <c r="D6" s="10">
        <f t="shared" si="0"/>
        <v>0.21304193721107365</v>
      </c>
      <c r="E6" s="10">
        <f t="shared" si="0"/>
        <v>0.27181495415227408</v>
      </c>
      <c r="F6" s="10">
        <f t="shared" si="0"/>
        <v>0.21083993405374665</v>
      </c>
      <c r="G6" s="10">
        <f t="shared" si="0"/>
        <v>0.18718551177512824</v>
      </c>
      <c r="H6" s="10">
        <f t="shared" si="0"/>
        <v>0.32361903452700075</v>
      </c>
    </row>
    <row r="7" spans="1:8" s="8" customFormat="1">
      <c r="A7" s="9" t="s">
        <v>12</v>
      </c>
      <c r="B7" s="10">
        <v>3.9699999999999999E-2</v>
      </c>
      <c r="C7" s="10">
        <f t="shared" si="0"/>
        <v>4.7253691620265992E-2</v>
      </c>
      <c r="D7" s="10">
        <f t="shared" si="0"/>
        <v>4.3411536692231696E-2</v>
      </c>
      <c r="E7" s="10">
        <f t="shared" si="0"/>
        <v>4.0108341110929369E-2</v>
      </c>
      <c r="F7" s="10">
        <f t="shared" si="0"/>
        <v>4.5925788821229378E-2</v>
      </c>
      <c r="G7" s="10">
        <f t="shared" si="0"/>
        <v>4.3403847606477072E-2</v>
      </c>
      <c r="H7" s="10">
        <f t="shared" si="0"/>
        <v>3.9793685705775884E-2</v>
      </c>
    </row>
    <row r="8" spans="1:8" s="8" customFormat="1">
      <c r="A8" s="9" t="s">
        <v>13</v>
      </c>
      <c r="B8" s="10">
        <v>3.7900000000000003E-2</v>
      </c>
      <c r="C8" s="10">
        <f t="shared" si="0"/>
        <v>4.1351939623192474E-2</v>
      </c>
      <c r="D8" s="10">
        <f t="shared" si="0"/>
        <v>3.7870560997865808E-2</v>
      </c>
      <c r="E8" s="10">
        <f t="shared" si="0"/>
        <v>3.3731514177675566E-2</v>
      </c>
      <c r="F8" s="10">
        <f t="shared" si="0"/>
        <v>4.1014897613889018E-2</v>
      </c>
      <c r="G8" s="10">
        <f t="shared" si="0"/>
        <v>4.018028118245584E-2</v>
      </c>
      <c r="H8" s="10">
        <f t="shared" si="0"/>
        <v>3.2562375420991142E-2</v>
      </c>
    </row>
    <row r="9" spans="1:8" s="8" customFormat="1">
      <c r="A9" s="9" t="s">
        <v>14</v>
      </c>
      <c r="B9" s="10">
        <v>2.3199999999999998E-2</v>
      </c>
      <c r="C9" s="10">
        <f t="shared" si="0"/>
        <v>4.6023746666254028E-2</v>
      </c>
      <c r="D9" s="10">
        <f t="shared" si="0"/>
        <v>4.373958356899918E-2</v>
      </c>
      <c r="E9" s="10">
        <f t="shared" si="0"/>
        <v>5.580625607374122E-2</v>
      </c>
      <c r="F9" s="10">
        <f t="shared" si="0"/>
        <v>4.328749088537099E-2</v>
      </c>
      <c r="G9" s="10">
        <f t="shared" si="0"/>
        <v>3.8431007727282959E-2</v>
      </c>
      <c r="H9" s="10">
        <f t="shared" si="0"/>
        <v>6.6442138062180675E-2</v>
      </c>
    </row>
    <row r="10" spans="1:8" s="8" customFormat="1">
      <c r="A10" s="9" t="s">
        <v>15</v>
      </c>
      <c r="B10" s="10">
        <v>1.8499999999999999E-2</v>
      </c>
      <c r="C10" s="10">
        <f t="shared" si="0"/>
        <v>2.568997928137887E-2</v>
      </c>
      <c r="D10" s="10">
        <f t="shared" si="0"/>
        <v>2.3368626652489004E-2</v>
      </c>
      <c r="E10" s="10">
        <f t="shared" si="0"/>
        <v>2.3140352734025458E-2</v>
      </c>
      <c r="F10" s="10">
        <f t="shared" si="0"/>
        <v>2.4852990456600929E-2</v>
      </c>
      <c r="G10" s="10">
        <f t="shared" si="0"/>
        <v>2.2984061733450474E-2</v>
      </c>
      <c r="H10" s="10">
        <f t="shared" si="0"/>
        <v>2.3841844800329918E-2</v>
      </c>
    </row>
    <row r="11" spans="1:8" s="8" customFormat="1">
      <c r="A11" s="9" t="s">
        <v>16</v>
      </c>
      <c r="B11" s="10">
        <v>9.4999999999999998E-3</v>
      </c>
      <c r="C11" s="10">
        <f t="shared" si="0"/>
        <v>1.8845930746957472E-2</v>
      </c>
      <c r="D11" s="10">
        <f t="shared" si="0"/>
        <v>1.7910605340753977E-2</v>
      </c>
      <c r="E11" s="10">
        <f t="shared" si="0"/>
        <v>2.2851699685368175E-2</v>
      </c>
      <c r="F11" s="10">
        <f t="shared" si="0"/>
        <v>1.7725481181509673E-2</v>
      </c>
      <c r="G11" s="10">
        <f t="shared" si="0"/>
        <v>1.5736835060740868E-2</v>
      </c>
      <c r="H11" s="10">
        <f t="shared" si="0"/>
        <v>2.720690998235847E-2</v>
      </c>
    </row>
    <row r="12" spans="1:8" s="8" customFormat="1">
      <c r="A12" s="9" t="s">
        <v>17</v>
      </c>
      <c r="B12" s="10">
        <v>3.0999999999999999E-3</v>
      </c>
      <c r="C12" s="10">
        <f t="shared" si="0"/>
        <v>4.9197798160478456E-3</v>
      </c>
      <c r="D12" s="10">
        <f t="shared" si="0"/>
        <v>4.3833849912897887E-3</v>
      </c>
      <c r="E12" s="10">
        <f t="shared" si="0"/>
        <v>4.4741222541878735E-3</v>
      </c>
      <c r="F12" s="10">
        <f t="shared" si="0"/>
        <v>4.5116014207253041E-3</v>
      </c>
      <c r="G12" s="10">
        <f t="shared" si="0"/>
        <v>4.2108457604635042E-3</v>
      </c>
      <c r="H12" s="10">
        <f t="shared" si="0"/>
        <v>4.8829243705180211E-3</v>
      </c>
    </row>
    <row r="13" spans="1:8" s="8" customFormat="1">
      <c r="A13" s="9" t="s">
        <v>18</v>
      </c>
      <c r="B13" s="10">
        <v>5.9999999999999995E-4</v>
      </c>
      <c r="C13" s="10">
        <f t="shared" si="0"/>
        <v>1.1902693103341558E-3</v>
      </c>
      <c r="D13" s="10">
        <f t="shared" si="0"/>
        <v>1.1311961267844615E-3</v>
      </c>
      <c r="E13" s="10">
        <f t="shared" si="0"/>
        <v>1.4432652432864108E-3</v>
      </c>
      <c r="F13" s="10">
        <f t="shared" si="0"/>
        <v>1.1195040746216633E-3</v>
      </c>
      <c r="G13" s="10">
        <f t="shared" si="0"/>
        <v>9.9390537225731786E-4</v>
      </c>
      <c r="H13" s="10">
        <f t="shared" si="0"/>
        <v>1.7183311567805348E-3</v>
      </c>
    </row>
    <row r="14" spans="1:8" s="8" customFormat="1">
      <c r="A14" s="9" t="s">
        <v>19</v>
      </c>
      <c r="B14" s="10">
        <v>1E-4</v>
      </c>
      <c r="C14" s="10">
        <f t="shared" si="0"/>
        <v>1.98378218389026E-4</v>
      </c>
      <c r="D14" s="10">
        <f t="shared" si="0"/>
        <v>1.8853268779741027E-4</v>
      </c>
      <c r="E14" s="10">
        <f t="shared" si="0"/>
        <v>2.4054420721440184E-4</v>
      </c>
      <c r="F14" s="10">
        <f t="shared" si="0"/>
        <v>1.8658401243694392E-4</v>
      </c>
      <c r="G14" s="10">
        <f t="shared" si="0"/>
        <v>1.6565089537621966E-4</v>
      </c>
      <c r="H14" s="10">
        <f t="shared" si="0"/>
        <v>2.8638852613008914E-4</v>
      </c>
    </row>
    <row r="15" spans="1:8" s="8" customFormat="1">
      <c r="A15" s="11" t="s">
        <v>20</v>
      </c>
      <c r="B15" s="12">
        <v>0.05</v>
      </c>
      <c r="C15" s="12">
        <f t="shared" si="0"/>
        <v>9.9189109194513E-2</v>
      </c>
      <c r="D15" s="12">
        <f t="shared" si="0"/>
        <v>9.4266343898705141E-2</v>
      </c>
      <c r="E15" s="12">
        <f t="shared" si="0"/>
        <v>0.12027210360720091</v>
      </c>
      <c r="F15" s="12">
        <f t="shared" si="0"/>
        <v>9.329200621847196E-2</v>
      </c>
      <c r="G15" s="12">
        <f t="shared" si="0"/>
        <v>8.2825447688109829E-2</v>
      </c>
      <c r="H15" s="12">
        <f t="shared" si="0"/>
        <v>0.14319426306504457</v>
      </c>
    </row>
    <row r="17" spans="1:36" s="5" customFormat="1" ht="31.95" customHeight="1">
      <c r="A17" s="40" t="s">
        <v>21</v>
      </c>
      <c r="B17" s="41" t="s">
        <v>2</v>
      </c>
      <c r="C17" s="41" t="s">
        <v>3</v>
      </c>
      <c r="D17" s="41" t="s">
        <v>4</v>
      </c>
      <c r="E17" s="41" t="s">
        <v>5</v>
      </c>
      <c r="F17" s="41" t="s">
        <v>6</v>
      </c>
      <c r="G17" s="41" t="s">
        <v>7</v>
      </c>
      <c r="H17" s="42" t="s">
        <v>8</v>
      </c>
    </row>
    <row r="18" spans="1:36" s="8" customFormat="1">
      <c r="A18" s="15" t="s">
        <v>22</v>
      </c>
      <c r="B18" s="13"/>
      <c r="C18" s="13">
        <f>$B$24</f>
        <v>0.75600000000000001</v>
      </c>
      <c r="D18" s="13">
        <f>$B$25</f>
        <v>0.69</v>
      </c>
      <c r="E18" s="13">
        <f>$B$26</f>
        <v>0.82</v>
      </c>
      <c r="F18" s="13">
        <f>$B$27</f>
        <v>0.70599999999999996</v>
      </c>
      <c r="G18" s="13">
        <f>$B$28</f>
        <v>0.60199999999999998</v>
      </c>
      <c r="H18" s="13">
        <f>$B$29</f>
        <v>0.91</v>
      </c>
    </row>
    <row r="19" spans="1:36" s="8" customFormat="1">
      <c r="A19" s="16" t="s">
        <v>23</v>
      </c>
      <c r="B19" s="14">
        <v>10</v>
      </c>
      <c r="C19" s="14">
        <f t="shared" ref="C19:H19" si="1">C$44</f>
        <v>5.0408760000000008</v>
      </c>
      <c r="D19" s="14">
        <f t="shared" si="1"/>
        <v>5.3041200000000011</v>
      </c>
      <c r="E19" s="14">
        <f t="shared" si="1"/>
        <v>4.1572400000000007</v>
      </c>
      <c r="F19" s="14">
        <f t="shared" si="1"/>
        <v>5.3595160000000002</v>
      </c>
      <c r="G19" s="14">
        <f t="shared" si="1"/>
        <v>6.036792000000001</v>
      </c>
      <c r="H19" s="14">
        <f t="shared" si="1"/>
        <v>3.4917599999999998</v>
      </c>
    </row>
    <row r="20" spans="1:36" s="5" customFormat="1" ht="28.05" customHeight="1">
      <c r="A20" s="17" t="s">
        <v>24</v>
      </c>
      <c r="B20" s="17" t="s">
        <v>25</v>
      </c>
      <c r="C20" s="17" t="s">
        <v>26</v>
      </c>
      <c r="D20" s="17" t="s">
        <v>26</v>
      </c>
      <c r="E20" s="17" t="s">
        <v>26</v>
      </c>
      <c r="F20" s="17" t="s">
        <v>26</v>
      </c>
      <c r="G20" s="17" t="s">
        <v>27</v>
      </c>
      <c r="H20" s="17" t="s">
        <v>28</v>
      </c>
    </row>
    <row r="22" spans="1:36" s="1" customFormat="1">
      <c r="A22" s="43" t="s">
        <v>29</v>
      </c>
      <c r="B22" s="43"/>
      <c r="C22" s="43"/>
      <c r="D22" s="43"/>
      <c r="E22" s="43"/>
      <c r="F22" s="43"/>
      <c r="G22" s="43"/>
      <c r="H22" s="43"/>
    </row>
    <row r="23" spans="1:36" s="5" customFormat="1">
      <c r="A23" s="25" t="s">
        <v>30</v>
      </c>
      <c r="B23" s="26" t="s">
        <v>22</v>
      </c>
      <c r="C23" s="26" t="s">
        <v>31</v>
      </c>
      <c r="D23" s="26" t="s">
        <v>32</v>
      </c>
      <c r="E23" s="26" t="s">
        <v>33</v>
      </c>
      <c r="F23" s="26" t="s">
        <v>34</v>
      </c>
      <c r="G23" s="27" t="s">
        <v>35</v>
      </c>
    </row>
    <row r="24" spans="1:36" s="8" customFormat="1">
      <c r="A24" s="19" t="s">
        <v>3</v>
      </c>
      <c r="B24" s="20">
        <v>0.75600000000000001</v>
      </c>
      <c r="C24" s="20">
        <v>0.35</v>
      </c>
      <c r="D24" s="20">
        <v>0.4</v>
      </c>
      <c r="E24" s="20">
        <v>0.3</v>
      </c>
      <c r="F24" s="20">
        <v>0.45</v>
      </c>
      <c r="G24" s="20">
        <v>0.2</v>
      </c>
    </row>
    <row r="25" spans="1:36" s="8" customFormat="1">
      <c r="A25" s="21" t="s">
        <v>4</v>
      </c>
      <c r="B25" s="22">
        <v>0.69</v>
      </c>
      <c r="C25" s="22">
        <v>0.38</v>
      </c>
      <c r="D25" s="22">
        <v>0.42</v>
      </c>
      <c r="E25" s="22">
        <v>0.33</v>
      </c>
      <c r="F25" s="22">
        <v>0.47</v>
      </c>
      <c r="G25" s="22">
        <v>0.25</v>
      </c>
    </row>
    <row r="26" spans="1:36" s="8" customFormat="1">
      <c r="A26" s="21" t="s">
        <v>5</v>
      </c>
      <c r="B26" s="22">
        <v>0.82</v>
      </c>
      <c r="C26" s="22">
        <v>0.55000000000000004</v>
      </c>
      <c r="D26" s="22">
        <v>0.57999999999999996</v>
      </c>
      <c r="E26" s="22">
        <v>0.48</v>
      </c>
      <c r="F26" s="22">
        <v>0.63</v>
      </c>
      <c r="G26" s="22">
        <v>0.4</v>
      </c>
    </row>
    <row r="27" spans="1:36" s="8" customFormat="1">
      <c r="A27" s="21" t="s">
        <v>6</v>
      </c>
      <c r="B27" s="22">
        <v>0.70599999999999996</v>
      </c>
      <c r="C27" s="22">
        <v>0.33</v>
      </c>
      <c r="D27" s="22">
        <v>0.38</v>
      </c>
      <c r="E27" s="22">
        <v>0.28000000000000003</v>
      </c>
      <c r="F27" s="22">
        <v>0.42</v>
      </c>
      <c r="G27" s="22">
        <v>0.22</v>
      </c>
    </row>
    <row r="28" spans="1:36" s="8" customFormat="1">
      <c r="A28" s="21" t="s">
        <v>7</v>
      </c>
      <c r="B28" s="22">
        <v>0.60199999999999998</v>
      </c>
      <c r="C28" s="22">
        <v>0.28000000000000003</v>
      </c>
      <c r="D28" s="22">
        <v>0.34</v>
      </c>
      <c r="E28" s="22">
        <v>0.25</v>
      </c>
      <c r="F28" s="22">
        <v>0.36</v>
      </c>
      <c r="G28" s="22">
        <v>0.18</v>
      </c>
    </row>
    <row r="29" spans="1:36" s="8" customFormat="1">
      <c r="A29" s="23" t="s">
        <v>8</v>
      </c>
      <c r="B29" s="24">
        <v>0.91</v>
      </c>
      <c r="C29" s="24">
        <v>0.62</v>
      </c>
      <c r="D29" s="24">
        <v>0.65</v>
      </c>
      <c r="E29" s="24">
        <v>0.55000000000000004</v>
      </c>
      <c r="F29" s="24">
        <v>0.7</v>
      </c>
      <c r="G29" s="24">
        <v>0.45</v>
      </c>
    </row>
    <row r="31" spans="1:36" s="44" customFormat="1">
      <c r="A31" s="40" t="s">
        <v>36</v>
      </c>
      <c r="B31" s="41" t="s">
        <v>37</v>
      </c>
      <c r="C31" s="41" t="s">
        <v>38</v>
      </c>
      <c r="D31" s="41" t="s">
        <v>39</v>
      </c>
      <c r="E31" s="41" t="s">
        <v>40</v>
      </c>
      <c r="F31" s="41" t="s">
        <v>41</v>
      </c>
      <c r="G31" s="41" t="s">
        <v>42</v>
      </c>
      <c r="H31" s="42" t="s">
        <v>43</v>
      </c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spans="1:36" s="8" customFormat="1">
      <c r="A32" s="28" t="s">
        <v>9</v>
      </c>
      <c r="B32" s="29">
        <f>$B$4*10</f>
        <v>5.1790000000000003</v>
      </c>
      <c r="C32" s="29">
        <f>$B32*(1-$B$24)</f>
        <v>1.263676</v>
      </c>
      <c r="D32" s="29">
        <f>$B32*(1-$B$25)</f>
        <v>1.6054900000000003</v>
      </c>
      <c r="E32" s="29">
        <f>$B32*(1-$B$26)</f>
        <v>0.93222000000000027</v>
      </c>
      <c r="F32" s="29">
        <f>$B32*(1-$B$27)</f>
        <v>1.5226260000000003</v>
      </c>
      <c r="G32" s="29">
        <f>$B32*(1-$B$28)</f>
        <v>2.061242</v>
      </c>
      <c r="H32" s="29">
        <f>$B32*(1-$B$29)</f>
        <v>0.46610999999999986</v>
      </c>
    </row>
    <row r="33" spans="1:8" s="8" customFormat="1">
      <c r="A33" s="30" t="s">
        <v>10</v>
      </c>
      <c r="B33" s="31">
        <f>$B$5*10</f>
        <v>1.865</v>
      </c>
      <c r="C33" s="31">
        <f>$B33*(1-$C$24)</f>
        <v>1.21225</v>
      </c>
      <c r="D33" s="31">
        <f>$B33*(1-$C$25)</f>
        <v>1.1562999999999999</v>
      </c>
      <c r="E33" s="31">
        <f>$B33*(1-$C$26)</f>
        <v>0.83924999999999994</v>
      </c>
      <c r="F33" s="31">
        <f>$B33*(1-$C$27)</f>
        <v>1.2495499999999999</v>
      </c>
      <c r="G33" s="31">
        <f>$B33*(1-$C$28)</f>
        <v>1.3428</v>
      </c>
      <c r="H33" s="31">
        <f>$B33*(1-$C$29)</f>
        <v>0.7087</v>
      </c>
    </row>
    <row r="34" spans="1:8" s="8" customFormat="1">
      <c r="A34" s="30" t="s">
        <v>11</v>
      </c>
      <c r="B34" s="31">
        <f>$B$6*10</f>
        <v>1.1300000000000001</v>
      </c>
      <c r="C34" s="31">
        <f t="shared" ref="C34:H34" si="2">$B34</f>
        <v>1.1300000000000001</v>
      </c>
      <c r="D34" s="31">
        <f t="shared" si="2"/>
        <v>1.1300000000000001</v>
      </c>
      <c r="E34" s="31">
        <f t="shared" si="2"/>
        <v>1.1300000000000001</v>
      </c>
      <c r="F34" s="31">
        <f t="shared" si="2"/>
        <v>1.1300000000000001</v>
      </c>
      <c r="G34" s="31">
        <f t="shared" si="2"/>
        <v>1.1300000000000001</v>
      </c>
      <c r="H34" s="31">
        <f t="shared" si="2"/>
        <v>1.1300000000000001</v>
      </c>
    </row>
    <row r="35" spans="1:8" s="8" customFormat="1">
      <c r="A35" s="30" t="s">
        <v>12</v>
      </c>
      <c r="B35" s="31">
        <f>$B$7*10</f>
        <v>0.39700000000000002</v>
      </c>
      <c r="C35" s="31">
        <f>$B35*(1-$D$24)</f>
        <v>0.2382</v>
      </c>
      <c r="D35" s="31">
        <f>$B35*(1-$D$25)</f>
        <v>0.23026000000000005</v>
      </c>
      <c r="E35" s="31">
        <f>$B35*(1-$D$26)</f>
        <v>0.16674000000000003</v>
      </c>
      <c r="F35" s="31">
        <f>$B35*(1-$D$27)</f>
        <v>0.24614</v>
      </c>
      <c r="G35" s="31">
        <f>$B35*(1-$D$28)</f>
        <v>0.26201999999999998</v>
      </c>
      <c r="H35" s="31">
        <f>$B35*(1-$D$29)</f>
        <v>0.13894999999999999</v>
      </c>
    </row>
    <row r="36" spans="1:8" s="8" customFormat="1">
      <c r="A36" s="30" t="s">
        <v>13</v>
      </c>
      <c r="B36" s="31">
        <f>$B$8*10</f>
        <v>0.379</v>
      </c>
      <c r="C36" s="31">
        <f>$B36*(1-$F$24)</f>
        <v>0.20845000000000002</v>
      </c>
      <c r="D36" s="31">
        <f>$B36*(1-$F$25)</f>
        <v>0.20087000000000002</v>
      </c>
      <c r="E36" s="31">
        <f>$B36*(1-$F$26)</f>
        <v>0.14022999999999999</v>
      </c>
      <c r="F36" s="31">
        <f>$B36*(1-$F$27)</f>
        <v>0.21982000000000002</v>
      </c>
      <c r="G36" s="31">
        <f>$B36*(1-$F$28)</f>
        <v>0.24256</v>
      </c>
      <c r="H36" s="31">
        <f>$B36*(1-$F$29)</f>
        <v>0.11370000000000002</v>
      </c>
    </row>
    <row r="37" spans="1:8" s="8" customFormat="1">
      <c r="A37" s="30" t="s">
        <v>14</v>
      </c>
      <c r="B37" s="31">
        <f>$B$9*10</f>
        <v>0.23199999999999998</v>
      </c>
      <c r="C37" s="31">
        <f t="shared" ref="C37:H37" si="3">$B37</f>
        <v>0.23199999999999998</v>
      </c>
      <c r="D37" s="31">
        <f t="shared" si="3"/>
        <v>0.23199999999999998</v>
      </c>
      <c r="E37" s="31">
        <f t="shared" si="3"/>
        <v>0.23199999999999998</v>
      </c>
      <c r="F37" s="31">
        <f t="shared" si="3"/>
        <v>0.23199999999999998</v>
      </c>
      <c r="G37" s="31">
        <f t="shared" si="3"/>
        <v>0.23199999999999998</v>
      </c>
      <c r="H37" s="31">
        <f t="shared" si="3"/>
        <v>0.23199999999999998</v>
      </c>
    </row>
    <row r="38" spans="1:8" s="8" customFormat="1">
      <c r="A38" s="30" t="s">
        <v>15</v>
      </c>
      <c r="B38" s="31">
        <f>$B$10*10</f>
        <v>0.185</v>
      </c>
      <c r="C38" s="31">
        <f>$B38*(1-$E$24)</f>
        <v>0.1295</v>
      </c>
      <c r="D38" s="31">
        <f>$B38*(1-$E$25)</f>
        <v>0.12394999999999999</v>
      </c>
      <c r="E38" s="31">
        <f>$B38*(1-$E$26)</f>
        <v>9.6200000000000008E-2</v>
      </c>
      <c r="F38" s="31">
        <f>$B38*(1-$E$27)</f>
        <v>0.13319999999999999</v>
      </c>
      <c r="G38" s="31">
        <f>$B38*(1-$E$28)</f>
        <v>0.13874999999999998</v>
      </c>
      <c r="H38" s="31">
        <f>$B38*(1-$E$29)</f>
        <v>8.3249999999999991E-2</v>
      </c>
    </row>
    <row r="39" spans="1:8" s="8" customFormat="1">
      <c r="A39" s="30" t="s">
        <v>16</v>
      </c>
      <c r="B39" s="31">
        <f>$B$11*10</f>
        <v>9.5000000000000001E-2</v>
      </c>
      <c r="C39" s="31">
        <f t="shared" ref="C39:H39" si="4">$B39</f>
        <v>9.5000000000000001E-2</v>
      </c>
      <c r="D39" s="31">
        <f t="shared" si="4"/>
        <v>9.5000000000000001E-2</v>
      </c>
      <c r="E39" s="31">
        <f t="shared" si="4"/>
        <v>9.5000000000000001E-2</v>
      </c>
      <c r="F39" s="31">
        <f t="shared" si="4"/>
        <v>9.5000000000000001E-2</v>
      </c>
      <c r="G39" s="31">
        <f t="shared" si="4"/>
        <v>9.5000000000000001E-2</v>
      </c>
      <c r="H39" s="31">
        <f t="shared" si="4"/>
        <v>9.5000000000000001E-2</v>
      </c>
    </row>
    <row r="40" spans="1:8" s="8" customFormat="1">
      <c r="A40" s="30" t="s">
        <v>17</v>
      </c>
      <c r="B40" s="31">
        <f>$B$12*10</f>
        <v>3.1E-2</v>
      </c>
      <c r="C40" s="31">
        <f>$B40*(1-$G$24)</f>
        <v>2.4800000000000003E-2</v>
      </c>
      <c r="D40" s="31">
        <f>$B40*(1-$G$25)</f>
        <v>2.325E-2</v>
      </c>
      <c r="E40" s="31">
        <f>$B40*(1-$G$26)</f>
        <v>1.8599999999999998E-2</v>
      </c>
      <c r="F40" s="31">
        <f>$B40*(1-$G$27)</f>
        <v>2.418E-2</v>
      </c>
      <c r="G40" s="31">
        <f>$B40*(1-$G$28)</f>
        <v>2.5420000000000002E-2</v>
      </c>
      <c r="H40" s="31">
        <f>$B40*(1-$G$29)</f>
        <v>1.7050000000000003E-2</v>
      </c>
    </row>
    <row r="41" spans="1:8" s="8" customFormat="1">
      <c r="A41" s="30" t="s">
        <v>18</v>
      </c>
      <c r="B41" s="31">
        <f>$B$13*10</f>
        <v>5.9999999999999993E-3</v>
      </c>
      <c r="C41" s="31">
        <f t="shared" ref="C41:H43" si="5">$B41</f>
        <v>5.9999999999999993E-3</v>
      </c>
      <c r="D41" s="31">
        <f t="shared" si="5"/>
        <v>5.9999999999999993E-3</v>
      </c>
      <c r="E41" s="31">
        <f t="shared" si="5"/>
        <v>5.9999999999999993E-3</v>
      </c>
      <c r="F41" s="31">
        <f t="shared" si="5"/>
        <v>5.9999999999999993E-3</v>
      </c>
      <c r="G41" s="31">
        <f t="shared" si="5"/>
        <v>5.9999999999999993E-3</v>
      </c>
      <c r="H41" s="31">
        <f t="shared" si="5"/>
        <v>5.9999999999999993E-3</v>
      </c>
    </row>
    <row r="42" spans="1:8" s="8" customFormat="1">
      <c r="A42" s="30" t="s">
        <v>19</v>
      </c>
      <c r="B42" s="31">
        <f>$B$14*10</f>
        <v>1E-3</v>
      </c>
      <c r="C42" s="31">
        <f t="shared" si="5"/>
        <v>1E-3</v>
      </c>
      <c r="D42" s="31">
        <f t="shared" si="5"/>
        <v>1E-3</v>
      </c>
      <c r="E42" s="31">
        <f t="shared" si="5"/>
        <v>1E-3</v>
      </c>
      <c r="F42" s="31">
        <f t="shared" si="5"/>
        <v>1E-3</v>
      </c>
      <c r="G42" s="31">
        <f t="shared" si="5"/>
        <v>1E-3</v>
      </c>
      <c r="H42" s="31">
        <f t="shared" si="5"/>
        <v>1E-3</v>
      </c>
    </row>
    <row r="43" spans="1:8" s="8" customFormat="1">
      <c r="A43" s="30" t="s">
        <v>20</v>
      </c>
      <c r="B43" s="31">
        <f>$B$15*10</f>
        <v>0.5</v>
      </c>
      <c r="C43" s="31">
        <f t="shared" si="5"/>
        <v>0.5</v>
      </c>
      <c r="D43" s="31">
        <f t="shared" si="5"/>
        <v>0.5</v>
      </c>
      <c r="E43" s="31">
        <f t="shared" si="5"/>
        <v>0.5</v>
      </c>
      <c r="F43" s="31">
        <f t="shared" si="5"/>
        <v>0.5</v>
      </c>
      <c r="G43" s="31">
        <f t="shared" si="5"/>
        <v>0.5</v>
      </c>
      <c r="H43" s="31">
        <f t="shared" si="5"/>
        <v>0.5</v>
      </c>
    </row>
    <row r="44" spans="1:8" s="8" customFormat="1">
      <c r="A44" s="32" t="s">
        <v>44</v>
      </c>
      <c r="B44" s="33">
        <f t="shared" ref="B44:H44" si="6">SUM(B32:B43)</f>
        <v>10.000000000000002</v>
      </c>
      <c r="C44" s="33">
        <f t="shared" si="6"/>
        <v>5.0408760000000008</v>
      </c>
      <c r="D44" s="33">
        <f t="shared" si="6"/>
        <v>5.3041200000000011</v>
      </c>
      <c r="E44" s="33">
        <f t="shared" si="6"/>
        <v>4.1572400000000007</v>
      </c>
      <c r="F44" s="33">
        <f t="shared" si="6"/>
        <v>5.3595160000000002</v>
      </c>
      <c r="G44" s="33">
        <f t="shared" si="6"/>
        <v>6.036792000000001</v>
      </c>
      <c r="H44" s="33">
        <f t="shared" si="6"/>
        <v>3.4917599999999998</v>
      </c>
    </row>
  </sheetData>
  <mergeCells count="2">
    <mergeCell ref="A1:H1"/>
    <mergeCell ref="A22:H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tabSelected="1" workbookViewId="0">
      <selection activeCell="G15" sqref="G15"/>
    </sheetView>
  </sheetViews>
  <sheetFormatPr defaultRowHeight="13.8"/>
  <cols>
    <col min="1" max="1" width="24" customWidth="1"/>
    <col min="2" max="4" width="22" customWidth="1"/>
  </cols>
  <sheetData>
    <row r="1" spans="1:4" s="1" customFormat="1" ht="30" customHeight="1">
      <c r="A1" s="48" t="s">
        <v>45</v>
      </c>
      <c r="B1" s="48" t="s">
        <v>45</v>
      </c>
      <c r="C1" s="48" t="s">
        <v>45</v>
      </c>
      <c r="D1" s="48" t="s">
        <v>45</v>
      </c>
    </row>
    <row r="2" spans="1:4" s="1" customFormat="1">
      <c r="A2" s="34" t="s">
        <v>50</v>
      </c>
      <c r="B2" s="35"/>
      <c r="C2" s="35"/>
      <c r="D2" s="36"/>
    </row>
    <row r="3" spans="1:4" s="1" customFormat="1">
      <c r="A3" s="37"/>
      <c r="B3" s="38"/>
      <c r="C3" s="38"/>
      <c r="D3" s="39"/>
    </row>
    <row r="5" spans="1:4" s="8" customFormat="1" ht="36" customHeight="1">
      <c r="A5" s="2" t="s">
        <v>1</v>
      </c>
      <c r="B5" s="3" t="s">
        <v>2</v>
      </c>
      <c r="C5" s="3" t="s">
        <v>46</v>
      </c>
      <c r="D5" s="4" t="s">
        <v>47</v>
      </c>
    </row>
    <row r="6" spans="1:4" s="8" customFormat="1">
      <c r="A6" s="6" t="str">
        <f>'All Six Tests'!A4</f>
        <v>CaO</v>
      </c>
      <c r="B6" s="7">
        <f>'All Six Tests'!B4</f>
        <v>0.51790000000000003</v>
      </c>
      <c r="C6" s="7">
        <f>'All Six Tests'!G4</f>
        <v>0.34144658288706975</v>
      </c>
      <c r="D6" s="7">
        <f>'All Six Tests'!H4</f>
        <v>0.13348855591449582</v>
      </c>
    </row>
    <row r="7" spans="1:4" s="8" customFormat="1">
      <c r="A7" s="9" t="str">
        <f>'All Six Tests'!A5</f>
        <v>Fe</v>
      </c>
      <c r="B7" s="10">
        <f>'All Six Tests'!B5</f>
        <v>0.1865</v>
      </c>
      <c r="C7" s="10">
        <f>'All Six Tests'!G5</f>
        <v>0.22243602231118775</v>
      </c>
      <c r="D7" s="10">
        <f>'All Six Tests'!H5</f>
        <v>0.20296354846839418</v>
      </c>
    </row>
    <row r="8" spans="1:4" s="8" customFormat="1">
      <c r="A8" s="9" t="str">
        <f>'All Six Tests'!A6</f>
        <v>SiO₂</v>
      </c>
      <c r="B8" s="10">
        <f>'All Six Tests'!B6</f>
        <v>0.113</v>
      </c>
      <c r="C8" s="10">
        <f>'All Six Tests'!G6</f>
        <v>0.18718551177512824</v>
      </c>
      <c r="D8" s="10">
        <f>'All Six Tests'!H6</f>
        <v>0.32361903452700075</v>
      </c>
    </row>
    <row r="9" spans="1:4" s="8" customFormat="1">
      <c r="A9" s="9" t="str">
        <f>'All Six Tests'!A7</f>
        <v>MgO</v>
      </c>
      <c r="B9" s="10">
        <f>'All Six Tests'!B7</f>
        <v>3.9699999999999999E-2</v>
      </c>
      <c r="C9" s="10">
        <f>'All Six Tests'!G7</f>
        <v>4.3403847606477072E-2</v>
      </c>
      <c r="D9" s="10">
        <f>'All Six Tests'!H7</f>
        <v>3.9793685705775884E-2</v>
      </c>
    </row>
    <row r="10" spans="1:4" s="8" customFormat="1">
      <c r="A10" s="9" t="str">
        <f>'All Six Tests'!A8</f>
        <v>MnO</v>
      </c>
      <c r="B10" s="10">
        <f>'All Six Tests'!B8</f>
        <v>3.7900000000000003E-2</v>
      </c>
      <c r="C10" s="10">
        <f>'All Six Tests'!G8</f>
        <v>4.018028118245584E-2</v>
      </c>
      <c r="D10" s="10">
        <f>'All Six Tests'!H8</f>
        <v>3.2562375420991142E-2</v>
      </c>
    </row>
    <row r="11" spans="1:4" s="8" customFormat="1">
      <c r="A11" s="9" t="str">
        <f>'All Six Tests'!A9</f>
        <v>P₂O₅</v>
      </c>
      <c r="B11" s="10">
        <f>'All Six Tests'!B9</f>
        <v>2.3199999999999998E-2</v>
      </c>
      <c r="C11" s="10">
        <f>'All Six Tests'!G9</f>
        <v>3.8431007727282959E-2</v>
      </c>
      <c r="D11" s="10">
        <f>'All Six Tests'!H9</f>
        <v>6.6442138062180675E-2</v>
      </c>
    </row>
    <row r="12" spans="1:4" s="8" customFormat="1">
      <c r="A12" s="9" t="str">
        <f>'All Six Tests'!A10</f>
        <v>Al₂O₃</v>
      </c>
      <c r="B12" s="10">
        <f>'All Six Tests'!B10</f>
        <v>1.8499999999999999E-2</v>
      </c>
      <c r="C12" s="10">
        <f>'All Six Tests'!G10</f>
        <v>2.2984061733450474E-2</v>
      </c>
      <c r="D12" s="10">
        <f>'All Six Tests'!H10</f>
        <v>2.3841844800329918E-2</v>
      </c>
    </row>
    <row r="13" spans="1:4" s="8" customFormat="1">
      <c r="A13" s="9" t="str">
        <f>'All Six Tests'!A11</f>
        <v>V₂O₅</v>
      </c>
      <c r="B13" s="10">
        <f>'All Six Tests'!B11</f>
        <v>9.4999999999999998E-3</v>
      </c>
      <c r="C13" s="10">
        <f>'All Six Tests'!G11</f>
        <v>1.5736835060740868E-2</v>
      </c>
      <c r="D13" s="10">
        <f>'All Six Tests'!H11</f>
        <v>2.720690998235847E-2</v>
      </c>
    </row>
    <row r="14" spans="1:4" s="8" customFormat="1">
      <c r="A14" s="9" t="str">
        <f>'All Six Tests'!A12</f>
        <v>Cr₂O₃</v>
      </c>
      <c r="B14" s="10">
        <f>'All Six Tests'!B12</f>
        <v>3.0999999999999999E-3</v>
      </c>
      <c r="C14" s="10">
        <f>'All Six Tests'!G12</f>
        <v>4.2108457604635042E-3</v>
      </c>
      <c r="D14" s="10">
        <f>'All Six Tests'!H12</f>
        <v>4.8829243705180211E-3</v>
      </c>
    </row>
    <row r="15" spans="1:4" s="8" customFormat="1">
      <c r="A15" s="9" t="str">
        <f>'All Six Tests'!A13</f>
        <v>S</v>
      </c>
      <c r="B15" s="10">
        <f>'All Six Tests'!B13</f>
        <v>5.9999999999999995E-4</v>
      </c>
      <c r="C15" s="10">
        <f>'All Six Tests'!G13</f>
        <v>9.9390537225731786E-4</v>
      </c>
      <c r="D15" s="10">
        <f>'All Six Tests'!H13</f>
        <v>1.7183311567805348E-3</v>
      </c>
    </row>
    <row r="16" spans="1:4" s="8" customFormat="1">
      <c r="A16" s="9" t="str">
        <f>'All Six Tests'!A14</f>
        <v>MoO₃</v>
      </c>
      <c r="B16" s="10">
        <f>'All Six Tests'!B14</f>
        <v>1E-4</v>
      </c>
      <c r="C16" s="10">
        <f>'All Six Tests'!G14</f>
        <v>1.6565089537621966E-4</v>
      </c>
      <c r="D16" s="10">
        <f>'All Six Tests'!H14</f>
        <v>2.8638852613008914E-4</v>
      </c>
    </row>
    <row r="17" spans="1:4" s="8" customFormat="1">
      <c r="A17" s="11" t="str">
        <f>'All Six Tests'!A15</f>
        <v>Other components</v>
      </c>
      <c r="B17" s="12">
        <f>'All Six Tests'!B15</f>
        <v>0.05</v>
      </c>
      <c r="C17" s="12">
        <f>'All Six Tests'!G15</f>
        <v>8.2825447688109829E-2</v>
      </c>
      <c r="D17" s="12">
        <f>'All Six Tests'!H15</f>
        <v>0.14319426306504457</v>
      </c>
    </row>
    <row r="19" spans="1:4" s="1" customFormat="1">
      <c r="A19" s="40" t="s">
        <v>21</v>
      </c>
      <c r="B19" s="41" t="s">
        <v>2</v>
      </c>
      <c r="C19" s="41" t="s">
        <v>46</v>
      </c>
      <c r="D19" s="42" t="s">
        <v>47</v>
      </c>
    </row>
    <row r="20" spans="1:4">
      <c r="A20" s="15" t="s">
        <v>22</v>
      </c>
      <c r="B20" s="13" t="s">
        <v>48</v>
      </c>
      <c r="C20" s="13">
        <f>'All Six Tests'!G18</f>
        <v>0.60199999999999998</v>
      </c>
      <c r="D20" s="13">
        <f>'All Six Tests'!H18</f>
        <v>0.91</v>
      </c>
    </row>
    <row r="21" spans="1:4">
      <c r="A21" s="47" t="s">
        <v>23</v>
      </c>
      <c r="B21" s="46">
        <f>'All Six Tests'!B19</f>
        <v>10</v>
      </c>
      <c r="C21" s="46">
        <f>'All Six Tests'!G19</f>
        <v>6.036792000000001</v>
      </c>
      <c r="D21" s="46">
        <f>'All Six Tests'!H19</f>
        <v>3.4917599999999998</v>
      </c>
    </row>
  </sheetData>
  <mergeCells count="2">
    <mergeCell ref="A1:D1"/>
    <mergeCell ref="A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Six Tests</vt:lpstr>
      <vt:lpstr>Best and Worst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2026-08-13T15:42:26Z</dcterms:modified>
</cp:coreProperties>
</file>