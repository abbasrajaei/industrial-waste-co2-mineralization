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Pardis\Downloads\"/>
    </mc:Choice>
  </mc:AlternateContent>
  <xr:revisionPtr revIDLastSave="0" documentId="13_ncr:1_{738073E6-A517-44E3-B90D-0B2AE929A7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D5" i="2"/>
  <c r="C5" i="2"/>
  <c r="B5" i="2"/>
  <c r="E4" i="2"/>
  <c r="D4" i="2"/>
  <c r="C4" i="2"/>
  <c r="B4" i="2"/>
  <c r="E8" i="1"/>
  <c r="C8" i="1"/>
</calcChain>
</file>

<file path=xl/sharedStrings.xml><?xml version="1.0" encoding="utf-8"?>
<sst xmlns="http://schemas.openxmlformats.org/spreadsheetml/2006/main" count="22" uniqueCount="17">
  <si>
    <t>Phase I Residual-Solid Composition</t>
  </si>
  <si>
    <t>Component</t>
  </si>
  <si>
    <t>HCl concentration (mg/kg)</t>
  </si>
  <si>
    <t>HCl distribution (%)</t>
  </si>
  <si>
    <t>HNO₃ concentration (mg/kg)</t>
  </si>
  <si>
    <t>HNO₃ distribution (%)</t>
  </si>
  <si>
    <t>Ca</t>
  </si>
  <si>
    <t>K</t>
  </si>
  <si>
    <t>Na</t>
  </si>
  <si>
    <t>Impurities*</t>
  </si>
  <si>
    <t>Distribution total</t>
  </si>
  <si>
    <t>* Impurities: Zn, Fe, Ti, Pb, Cu, Mg, Al, Sn, Cr, Si, and S.</t>
  </si>
  <si>
    <t>Extraction agent</t>
  </si>
  <si>
    <t>Hydrochloric acid</t>
  </si>
  <si>
    <t>Nitric acid</t>
  </si>
  <si>
    <t>Key interpretation</t>
  </si>
  <si>
    <t>The residual solids were dominated by the grouped impurities, while residual calcium was 3.27% after HCl leaching and 5.81% after HNO₃ leaching.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</si>
</sst>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0"/>
      <color rgb="FF1F2933"/>
      <name val="Aptos"/>
      <family val="2"/>
    </font>
    <font>
      <i/>
      <sz val="9"/>
      <color rgb="FF52616B"/>
      <name val="Aptos"/>
      <family val="2"/>
    </font>
    <font>
      <sz val="10"/>
      <color rgb="FF1F2933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1F2933"/>
      <name val="Times New Roman"/>
      <family val="1"/>
    </font>
    <font>
      <b/>
      <sz val="10"/>
      <color rgb="FF17324D"/>
      <name val="Times New Roman"/>
      <family val="1"/>
    </font>
    <font>
      <sz val="11"/>
      <color rgb="FF1F2933"/>
      <name val="Times New Roman"/>
      <family val="1"/>
    </font>
    <font>
      <b/>
      <sz val="16"/>
      <color theme="6" tint="0.79998168889431442"/>
      <name val="Times New Roman"/>
      <family val="1"/>
    </font>
    <font>
      <sz val="10"/>
      <color theme="6" tint="0.79998168889431442"/>
      <name val="Times New Roman"/>
      <family val="1"/>
    </font>
    <font>
      <sz val="11"/>
      <color theme="6" tint="0.79998168889431442"/>
      <name val="Times New Roman"/>
      <family val="1"/>
    </font>
    <font>
      <b/>
      <sz val="10"/>
      <color theme="6" tint="0.7999816888943144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3F5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2" fontId="1" fillId="0" borderId="0" xfId="0" applyNumberFormat="1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/>
    </xf>
    <xf numFmtId="10" fontId="1" fillId="3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3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/>
    <xf numFmtId="0" fontId="7" fillId="3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/>
    <xf numFmtId="0" fontId="10" fillId="0" borderId="0" xfId="0" applyFont="1"/>
    <xf numFmtId="0" fontId="11" fillId="2" borderId="0" xfId="0" applyNumberFormat="1" applyFont="1" applyFill="1" applyBorder="1" applyAlignment="1">
      <alignment horizontal="center"/>
    </xf>
    <xf numFmtId="0" fontId="11" fillId="2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Phase I Residual-Solid Composition (100% stacked)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Ca</c:v>
          </c:tx>
          <c:spPr>
            <a:solidFill>
              <a:srgbClr val="4C78A8"/>
            </a:solidFill>
          </c:spPr>
          <c:invertIfNegative val="1"/>
          <c:cat>
            <c:strLit>
              <c:ptCount val="2"/>
              <c:pt idx="0">
                <c:v>HCl</c:v>
              </c:pt>
              <c:pt idx="1">
                <c:v>HNO₃</c:v>
              </c:pt>
            </c:strLit>
          </c:cat>
          <c:val>
            <c:numLit>
              <c:formatCode>General</c:formatCode>
              <c:ptCount val="2"/>
              <c:pt idx="0">
                <c:v>3.27</c:v>
              </c:pt>
              <c:pt idx="1">
                <c:v>5.81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5075-472E-8F3D-D701B6DF4A15}"/>
            </c:ext>
          </c:extLst>
        </c:ser>
        <c:ser>
          <c:idx val="1"/>
          <c:order val="1"/>
          <c:tx>
            <c:v>K</c:v>
          </c:tx>
          <c:spPr>
            <a:solidFill>
              <a:srgbClr val="5AA9A6"/>
            </a:solidFill>
          </c:spPr>
          <c:invertIfNegative val="1"/>
          <c:cat>
            <c:strLit>
              <c:ptCount val="2"/>
              <c:pt idx="0">
                <c:v>HCl</c:v>
              </c:pt>
              <c:pt idx="1">
                <c:v>HNO₃</c:v>
              </c:pt>
            </c:strLit>
          </c:cat>
          <c:val>
            <c:numLit>
              <c:formatCode>General</c:formatCode>
              <c:ptCount val="2"/>
              <c:pt idx="0">
                <c:v>6.21</c:v>
              </c:pt>
              <c:pt idx="1">
                <c:v>6.01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5075-472E-8F3D-D701B6DF4A15}"/>
            </c:ext>
          </c:extLst>
        </c:ser>
        <c:ser>
          <c:idx val="2"/>
          <c:order val="2"/>
          <c:tx>
            <c:v>Na</c:v>
          </c:tx>
          <c:spPr>
            <a:solidFill>
              <a:srgbClr val="E5A84B"/>
            </a:solidFill>
          </c:spPr>
          <c:invertIfNegative val="1"/>
          <c:cat>
            <c:strLit>
              <c:ptCount val="2"/>
              <c:pt idx="0">
                <c:v>HCl</c:v>
              </c:pt>
              <c:pt idx="1">
                <c:v>HNO₃</c:v>
              </c:pt>
            </c:strLit>
          </c:cat>
          <c:val>
            <c:numLit>
              <c:formatCode>General</c:formatCode>
              <c:ptCount val="2"/>
              <c:pt idx="0">
                <c:v>0.5</c:v>
              </c:pt>
              <c:pt idx="1">
                <c:v>0.5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5075-472E-8F3D-D701B6DF4A15}"/>
            </c:ext>
          </c:extLst>
        </c:ser>
        <c:ser>
          <c:idx val="3"/>
          <c:order val="3"/>
          <c:tx>
            <c:v>Impurities</c:v>
          </c:tx>
          <c:spPr>
            <a:solidFill>
              <a:srgbClr val="D96C5F"/>
            </a:solidFill>
          </c:spPr>
          <c:invertIfNegative val="1"/>
          <c:cat>
            <c:strLit>
              <c:ptCount val="2"/>
              <c:pt idx="0">
                <c:v>HCl</c:v>
              </c:pt>
              <c:pt idx="1">
                <c:v>HNO₃</c:v>
              </c:pt>
            </c:strLit>
          </c:cat>
          <c:val>
            <c:numLit>
              <c:formatCode>General</c:formatCode>
              <c:ptCount val="2"/>
              <c:pt idx="0">
                <c:v>90.01</c:v>
              </c:pt>
              <c:pt idx="1">
                <c:v>87.68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3-5075-472E-8F3D-D701B6DF4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</c:legend>
    <c:plotVisOnly val="1"/>
    <c:dispBlanksAs val="zero"/>
    <c:showDLblsOverMax val="1"/>
  </c:chart>
  <c:spPr>
    <a:solidFill>
      <a:srgbClr val="FFFFFF"/>
    </a:solidFill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7810500" cy="371475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B15" sqref="B15"/>
    </sheetView>
  </sheetViews>
  <sheetFormatPr defaultRowHeight="13.8"/>
  <cols>
    <col min="1" max="1" width="18" customWidth="1"/>
    <col min="2" max="5" width="22" customWidth="1"/>
  </cols>
  <sheetData>
    <row r="1" spans="1:11" s="21" customFormat="1" ht="24" customHeight="1">
      <c r="A1" s="19" t="s">
        <v>0</v>
      </c>
      <c r="B1" s="19"/>
      <c r="C1" s="19"/>
      <c r="D1" s="19"/>
      <c r="E1" s="19"/>
      <c r="F1" s="20"/>
      <c r="G1" s="20"/>
      <c r="H1" s="20"/>
      <c r="I1" s="20"/>
      <c r="J1" s="20"/>
      <c r="K1" s="20"/>
    </row>
    <row r="2" spans="1:11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s="21" customFormat="1" ht="28.8" customHeight="1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  <c r="F3" s="20"/>
      <c r="G3" s="20"/>
      <c r="H3" s="20"/>
      <c r="I3" s="20"/>
      <c r="J3" s="20"/>
      <c r="K3" s="20"/>
    </row>
    <row r="4" spans="1:11" ht="14.4">
      <c r="A4" s="12" t="s">
        <v>6</v>
      </c>
      <c r="B4" s="5">
        <v>12414.38</v>
      </c>
      <c r="C4" s="6">
        <v>3.27E-2</v>
      </c>
      <c r="D4" s="5">
        <v>23677.352999999999</v>
      </c>
      <c r="E4" s="6">
        <v>5.8099999999999999E-2</v>
      </c>
      <c r="F4" s="1"/>
      <c r="G4" s="1"/>
      <c r="H4" s="1"/>
      <c r="I4" s="1"/>
      <c r="J4" s="1"/>
      <c r="K4" s="1"/>
    </row>
    <row r="5" spans="1:11" ht="14.4">
      <c r="A5" s="12" t="s">
        <v>7</v>
      </c>
      <c r="B5" s="5">
        <v>23562.639999999999</v>
      </c>
      <c r="C5" s="6">
        <v>6.2100000000000002E-2</v>
      </c>
      <c r="D5" s="5">
        <v>24463.61</v>
      </c>
      <c r="E5" s="6">
        <v>6.0100000000000001E-2</v>
      </c>
      <c r="F5" s="1"/>
      <c r="G5" s="1"/>
      <c r="H5" s="1"/>
      <c r="I5" s="1"/>
      <c r="J5" s="1"/>
      <c r="K5" s="1"/>
    </row>
    <row r="6" spans="1:11" ht="14.4">
      <c r="A6" s="12" t="s">
        <v>8</v>
      </c>
      <c r="B6" s="5">
        <v>1901.07</v>
      </c>
      <c r="C6" s="6">
        <v>5.0000000000000001E-3</v>
      </c>
      <c r="D6" s="5">
        <v>2023.25</v>
      </c>
      <c r="E6" s="6">
        <v>5.0000000000000001E-3</v>
      </c>
      <c r="F6" s="1"/>
      <c r="G6" s="1"/>
      <c r="H6" s="1"/>
      <c r="I6" s="1"/>
      <c r="J6" s="1"/>
      <c r="K6" s="1"/>
    </row>
    <row r="7" spans="1:11" ht="14.4">
      <c r="A7" s="13" t="s">
        <v>9</v>
      </c>
      <c r="B7" s="7">
        <v>341598.92</v>
      </c>
      <c r="C7" s="8">
        <v>0.90010000000000001</v>
      </c>
      <c r="D7" s="7">
        <v>357068.41</v>
      </c>
      <c r="E7" s="8">
        <v>0.87680000000000002</v>
      </c>
      <c r="F7" s="1"/>
      <c r="G7" s="1"/>
      <c r="H7" s="1"/>
      <c r="I7" s="1"/>
      <c r="J7" s="1"/>
      <c r="K7" s="1"/>
    </row>
    <row r="8" spans="1:11" ht="14.4">
      <c r="A8" s="14" t="s">
        <v>10</v>
      </c>
      <c r="B8" s="9"/>
      <c r="C8" s="10">
        <f>SUM(C4:C7)</f>
        <v>0.99990000000000001</v>
      </c>
      <c r="D8" s="9"/>
      <c r="E8" s="10">
        <f>SUM(E4:E7)</f>
        <v>1</v>
      </c>
      <c r="F8" s="1"/>
      <c r="G8" s="1"/>
      <c r="H8" s="1"/>
      <c r="I8" s="1"/>
      <c r="J8" s="1"/>
      <c r="K8" s="1"/>
    </row>
    <row r="9" spans="1:11" ht="14.4">
      <c r="A9" s="11"/>
      <c r="B9" s="11"/>
      <c r="C9" s="11"/>
      <c r="D9" s="11"/>
      <c r="E9" s="11"/>
      <c r="F9" s="1"/>
      <c r="G9" s="1"/>
      <c r="H9" s="1"/>
      <c r="I9" s="1"/>
      <c r="J9" s="1"/>
      <c r="K9" s="1"/>
    </row>
    <row r="10" spans="1:11" ht="17.55" customHeight="1">
      <c r="A10" s="2" t="s">
        <v>11</v>
      </c>
      <c r="B10" s="2"/>
      <c r="C10" s="2"/>
      <c r="D10" s="2"/>
      <c r="E10" s="2"/>
      <c r="F10" s="1"/>
      <c r="G10" s="1"/>
      <c r="H10" s="1"/>
      <c r="I10" s="1"/>
      <c r="J10" s="1"/>
      <c r="K10" s="1"/>
    </row>
    <row r="11" spans="1:11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</sheetData>
  <mergeCells count="2">
    <mergeCell ref="A1:E1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topLeftCell="A7" workbookViewId="0">
      <selection activeCell="A3" sqref="A3:XFD3"/>
    </sheetView>
  </sheetViews>
  <sheetFormatPr defaultRowHeight="13.8"/>
  <cols>
    <col min="1" max="1" width="22" customWidth="1"/>
    <col min="2" max="8" width="14" customWidth="1"/>
  </cols>
  <sheetData>
    <row r="1" spans="1:11" s="21" customFormat="1" ht="24" customHeight="1">
      <c r="A1" s="19" t="s">
        <v>0</v>
      </c>
      <c r="B1" s="19"/>
      <c r="C1" s="19"/>
      <c r="D1" s="19"/>
      <c r="E1" s="19"/>
      <c r="F1" s="19"/>
      <c r="G1" s="19"/>
      <c r="H1" s="19"/>
      <c r="I1" s="20"/>
      <c r="J1" s="20"/>
      <c r="K1" s="20"/>
    </row>
    <row r="2" spans="1:11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s="21" customFormat="1">
      <c r="A3" s="22" t="s">
        <v>12</v>
      </c>
      <c r="B3" s="22" t="s">
        <v>6</v>
      </c>
      <c r="C3" s="22" t="s">
        <v>7</v>
      </c>
      <c r="D3" s="22" t="s">
        <v>8</v>
      </c>
      <c r="E3" s="22" t="s">
        <v>9</v>
      </c>
      <c r="F3" s="20"/>
      <c r="G3" s="20"/>
      <c r="H3" s="20"/>
      <c r="I3" s="20"/>
      <c r="J3" s="20"/>
      <c r="K3" s="20"/>
    </row>
    <row r="4" spans="1:11" ht="14.4">
      <c r="A4" s="17" t="s">
        <v>13</v>
      </c>
      <c r="B4" s="3">
        <f>Data!C4/SUM(Data!$C$4:'Data'!$C$7)*100</f>
        <v>3.2703270327032707</v>
      </c>
      <c r="C4" s="3">
        <f>Data!C5/SUM(Data!$C$4:'Data'!$C$7)*100</f>
        <v>6.2106210621062106</v>
      </c>
      <c r="D4" s="3">
        <f>Data!C6/SUM(Data!$C$4:'Data'!$C$7)*100</f>
        <v>0.50005000500050012</v>
      </c>
      <c r="E4" s="3">
        <f>Data!C7/SUM(Data!$C$4:'Data'!$C$7)*100</f>
        <v>90.01900190019002</v>
      </c>
      <c r="F4" s="1"/>
      <c r="G4" s="1"/>
      <c r="H4" s="1"/>
      <c r="I4" s="1"/>
      <c r="J4" s="1"/>
      <c r="K4" s="1"/>
    </row>
    <row r="5" spans="1:11" ht="14.4">
      <c r="A5" s="18" t="s">
        <v>14</v>
      </c>
      <c r="B5" s="4">
        <f>Data!E4/SUM(Data!$E$4:'Data'!$E$7)*100</f>
        <v>5.81</v>
      </c>
      <c r="C5" s="4">
        <f>Data!E5/SUM(Data!$E$4:'Data'!$E$7)*100</f>
        <v>6.01</v>
      </c>
      <c r="D5" s="4">
        <f>Data!E6/SUM(Data!$E$4:'Data'!$E$7)*100</f>
        <v>0.5</v>
      </c>
      <c r="E5" s="4">
        <f>Data!E7/SUM(Data!$E$4:'Data'!$E$7)*100</f>
        <v>87.68</v>
      </c>
      <c r="F5" s="1"/>
      <c r="G5" s="1"/>
      <c r="H5" s="1"/>
      <c r="I5" s="1"/>
      <c r="J5" s="1"/>
      <c r="K5" s="1"/>
    </row>
    <row r="6" spans="1:11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4.4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4.4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4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4.4">
      <c r="A29" s="15" t="s">
        <v>15</v>
      </c>
      <c r="B29" s="15"/>
      <c r="C29" s="15"/>
      <c r="D29" s="15"/>
      <c r="E29" s="15"/>
      <c r="F29" s="15"/>
      <c r="G29" s="15"/>
      <c r="H29" s="15"/>
      <c r="I29" s="1"/>
      <c r="J29" s="1"/>
      <c r="K29" s="1"/>
    </row>
    <row r="30" spans="1:11">
      <c r="A30" s="16" t="s">
        <v>16</v>
      </c>
      <c r="B30" s="16"/>
      <c r="C30" s="16"/>
      <c r="D30" s="16"/>
      <c r="E30" s="16"/>
      <c r="F30" s="16"/>
      <c r="G30" s="16"/>
      <c r="H30" s="16"/>
    </row>
    <row r="31" spans="1:11">
      <c r="A31" s="16"/>
      <c r="B31" s="16"/>
      <c r="C31" s="16"/>
      <c r="D31" s="16"/>
      <c r="E31" s="16"/>
      <c r="F31" s="16"/>
      <c r="G31" s="16"/>
      <c r="H31" s="16"/>
    </row>
  </sheetData>
  <mergeCells count="3">
    <mergeCell ref="A1:H1"/>
    <mergeCell ref="A29:H29"/>
    <mergeCell ref="A30:H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Pardis</cp:lastModifiedBy>
  <dcterms:modified xsi:type="dcterms:W3CDTF">2026-08-13T23:31:25Z</dcterms:modified>
</cp:coreProperties>
</file>